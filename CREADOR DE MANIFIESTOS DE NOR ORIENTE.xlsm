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YECTO-CREADOR-DE-FACTURAS-\"/>
    </mc:Choice>
  </mc:AlternateContent>
  <bookViews>
    <workbookView xWindow="0" yWindow="0" windowWidth="16815" windowHeight="7530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functionGroups builtInGroupCount="18"/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<sst xmlns="http://schemas.openxmlformats.org/spreadsheetml/2006/main" count="819" uniqueCount="451">
  <si>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</si>
  <si>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</si>
  <si>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</si>
  <si>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</si>
  <si>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</si>
  <si>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</si>
  <si>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</si>
  <si>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</si>
  <si>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</si>
  <si>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</si>
  <si>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</si>
  <si>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</si>
  <si>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</si>
  <si>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</si>
  <si>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</si>
  <si>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</si>
  <si>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</si>
  <si>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</si>
  <si>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</si>
  <si>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</si>
  <si>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</si>
  <si>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</si>
  <si>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</si>
  <si>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</si>
  <si>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</si>
  <si>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</si>
  <si>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</si>
  <si>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</si>
  <si>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</si>
  <si>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</si>
  <si>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</si>
  <si>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</si>
  <si>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</si>
  <si>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</si>
  <si>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</si>
  <si>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</si>
  <si>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</si>
  <si>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</si>
  <si>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</si>
  <si>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</si>
  <si>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</si>
  <si>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</si>
  <si>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</si>
  <si>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</si>
  <si>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</si>
  <si>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</si>
  <si>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</si>
  <si>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</si>
  <si>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</si>
  <si>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</si>
  <si>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</si>
  <si>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</si>
  <si>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</si>
  <si>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</si>
  <si>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</si>
  <si>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</si>
  <si>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</si>
  <si>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</si>
  <si>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</si>
  <si>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</si>
  <si>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</si>
  <si>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</si>
  <si>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</si>
  <si>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</si>
  <si>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</si>
  <si>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</si>
  <si>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</si>
  <si>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</si>
  <si>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</si>
  <si>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</si>
  <si>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</si>
  <si>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</si>
  <si>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</si>
  <si>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</si>
  <si>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</si>
  <si>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</si>
  <si>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</si>
  <si>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</si>
  <si>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</si>
  <si>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</si>
  <si>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</si>
  <si>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</si>
  <si>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</si>
  <si>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</si>
  <si>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</si>
  <si>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</si>
  <si>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</si>
  <si>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</si>
  <si>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</si>
  <si>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</si>
  <si>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</si>
  <si>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</si>
  <si>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</si>
  <si>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</si>
  <si>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</si>
  <si>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</si>
  <si>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</si>
  <si>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</si>
  <si>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</si>
  <si>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</si>
  <si>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</si>
  <si>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</si>
  <si>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</si>
  <si>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</si>
  <si>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</si>
  <si>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</si>
  <si>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</si>
  <si>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</si>
  <si>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</si>
  <si>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</si>
  <si>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</si>
  <si>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</si>
  <si>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</si>
  <si>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</si>
  <si>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</si>
  <si>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</si>
  <si>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</si>
  <si>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</si>
  <si>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</si>
  <si>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</si>
  <si>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</si>
  <si>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</si>
  <si>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</si>
  <si>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</si>
  <si>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</si>
  <si>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</si>
  <si>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</si>
  <si>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</si>
  <si>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</si>
  <si>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</si>
  <si>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</si>
  <si>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</si>
  <si>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</si>
  <si>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</si>
  <si>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</si>
  <si>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</si>
  <si>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</si>
  <si>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</si>
  <si>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</si>
  <si>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</si>
  <si>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</si>
  <si>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</si>
  <si>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</si>
  <si>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</si>
  <si>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</si>
  <si>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</si>
  <si>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</si>
  <si>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</si>
  <si>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</si>
  <si>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</si>
  <si>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</si>
  <si>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</si>
  <si>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</si>
  <si>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</si>
  <si>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</si>
  <si>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</si>
  <si>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</si>
  <si>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</si>
  <si>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</si>
  <si>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</si>
  <si>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</si>
  <si>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</si>
  <si>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</si>
  <si>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</si>
  <si>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</si>
  <si>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</si>
  <si>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</si>
  <si>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</si>
  <si>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</si>
  <si>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</si>
  <si>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</si>
  <si>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</si>
  <si>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</si>
  <si>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</si>
  <si>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</si>
  <si>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</si>
  <si>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</si>
  <si>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</si>
  <si>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</si>
  <si>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</si>
  <si>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</si>
  <si>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</si>
  <si>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</si>
  <si>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</si>
  <si>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</si>
  <si>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</si>
  <si>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</si>
  <si>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</si>
  <si>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</si>
  <si>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</si>
  <si>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</si>
  <si>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</si>
  <si>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</si>
  <si>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</si>
  <si>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</si>
  <si>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</si>
  <si>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</si>
  <si>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</si>
  <si>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</si>
  <si>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</si>
  <si>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</si>
  <si>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</si>
  <si>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</si>
  <si>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</si>
  <si>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</si>
  <si>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</si>
  <si>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</si>
  <si>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</si>
  <si>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</si>
  <si>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</si>
  <si>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</si>
  <si>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</si>
  <si>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</si>
  <si>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</si>
  <si>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</si>
  <si>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</si>
  <si>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</si>
  <si>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</si>
  <si>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</si>
  <si>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</si>
  <si>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</si>
  <si>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</si>
  <si>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</si>
  <si>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</si>
  <si>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</si>
  <si>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</si>
  <si>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</si>
  <si>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</si>
  <si>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</si>
  <si>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</si>
  <si>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</si>
  <si>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</si>
  <si>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</si>
  <si>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</si>
  <si>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</si>
  <si>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</si>
  <si>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</si>
  <si>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</si>
  <si>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</si>
  <si>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</si>
  <si>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</si>
  <si>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</si>
  <si>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</si>
  <si>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</si>
  <si>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</si>
  <si>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</si>
  <si>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</si>
  <si>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</si>
  <si>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</si>
  <si>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</si>
  <si>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</si>
  <si>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</si>
  <si>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</si>
  <si>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</si>
  <si>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</si>
  <si>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</si>
  <si>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</si>
  <si>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</si>
  <si>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</si>
  <si>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</si>
  <si>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</si>
  <si>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</si>
  <si>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</si>
  <si>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</si>
  <si>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</si>
  <si>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</si>
  <si>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</si>
  <si>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</si>
  <si>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</si>
  <si>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</si>
  <si>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</si>
  <si>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</si>
  <si>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</si>
  <si>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</si>
  <si>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</si>
  <si>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</si>
  <si>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</si>
  <si>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</si>
  <si>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</si>
  <si>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</si>
  <si>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</si>
  <si>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</si>
  <si>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</si>
  <si>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</si>
  <si>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</si>
  <si>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</si>
  <si>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</si>
  <si>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</si>
  <si>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</si>
  <si>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</si>
  <si>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</si>
  <si>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</si>
  <si>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</si>
  <si>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</si>
  <si>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</si>
  <si>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</si>
  <si>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</si>
  <si>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</si>
  <si>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</si>
  <si>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</si>
  <si>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</si>
  <si>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</si>
  <si>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</si>
  <si>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</si>
  <si>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</si>
  <si>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</si>
  <si>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</si>
  <si>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</si>
  <si>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</si>
  <si>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</si>
  <si>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</si>
  <si>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</si>
  <si>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</si>
  <si>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</si>
  <si>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</si>
  <si>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</si>
  <si>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</si>
  <si>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</si>
  <si>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</si>
  <si>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</si>
  <si>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</si>
  <si>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</si>
  <si>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</si>
  <si>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</si>
  <si>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</si>
  <si>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</si>
  <si>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</si>
  <si>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</si>
  <si>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</si>
  <si>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</si>
  <si>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</si>
  <si>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</si>
  <si>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</si>
  <si>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</si>
  <si>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</si>
  <si>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</si>
  <si>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</si>
  <si>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</si>
  <si>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</si>
  <si>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</si>
  <si>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</si>
  <si>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</si>
  <si>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</si>
  <si>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</si>
  <si>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</si>
  <si>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</si>
  <si>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</si>
  <si>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</si>
  <si>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</si>
  <si>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</si>
  <si>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</si>
  <si>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</si>
  <si>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</si>
  <si>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</si>
  <si>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</si>
  <si>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</si>
  <si>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</si>
  <si>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</si>
  <si>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</si>
  <si>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</si>
  <si>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</si>
  <si>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</si>
  <si>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</si>
  <si>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</si>
  <si>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</si>
  <si>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</si>
  <si>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</si>
  <si>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</si>
  <si>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</si>
  <si>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</si>
  <si>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</si>
  <si>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</si>
  <si>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</si>
  <si>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</si>
  <si>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</si>
  <si>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</si>
  <si>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</si>
  <si>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</si>
  <si>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</si>
  <si>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</si>
  <si>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</si>
  <si>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</si>
  <si>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</si>
  <si>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</si>
  <si>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</si>
  <si>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</si>
  <si>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</si>
  <si>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</si>
  <si>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</si>
  <si>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</si>
  <si>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</si>
  <si>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</si>
  <si>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</si>
  <si>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</si>
  <si>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</si>
  <si>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</si>
  <si>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</si>
  <si>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</si>
  <si>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</si>
  <si>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</si>
  <si>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</si>
  <si>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</si>
  <si>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</si>
  <si>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</si>
  <si>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</si>
  <si>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</si>
  <si>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</si>
  <si>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</si>
  <si>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</si>
  <si>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</si>
  <si>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</si>
  <si>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</si>
  <si>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</si>
  <si>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</si>
  <si>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</si>
  <si>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</si>
  <si>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</si>
  <si>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</si>
  <si>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</si>
  <si>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</si>
  <si>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</si>
  <si>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</si>
  <si>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</si>
  <si>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</si>
  <si>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</si>
  <si>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</si>
  <si>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</si>
  <si>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</si>
  <si>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</si>
  <si>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</si>
  <si>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</si>
  <si>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</si>
  <si>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</si>
  <si>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</si>
  <si>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</si>
  <si>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</si>
  <si>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</si>
  <si>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</si>
  <si>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</si>
  <si>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</si>
  <si>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</si>
  <si>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</si>
  <si>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</si>
  <si>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202 - 30218311</t>
  </si>
  <si>
    <t>FRIO</t>
  </si>
  <si>
    <t>A</t>
  </si>
  <si>
    <t>200B</t>
  </si>
  <si>
    <t>FSADF</t>
  </si>
  <si>
    <t>FASFD</t>
  </si>
  <si>
    <t>CLARAS DE HUEVO</t>
  </si>
  <si>
    <t>EGG WHITES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</si>
</sst>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  <font>
      <u/>
      <sz val="12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5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21" fillId="16" borderId="40" xfId="0" applyFont="1" applyFill="1" applyBorder="1" applyAlignment="1">
      <alignment horizontal="center"/>
    </xf>
    <xf numFmtId="0" fontId="21" fillId="13" borderId="40" xfId="0" applyFont="1" applyFill="1" applyBorder="1" applyAlignment="1">
      <alignment horizontal="center" vertical="center"/>
    </xf>
    <xf numFmtId="0" fontId="21" fillId="14" borderId="40" xfId="0" applyFont="1" applyFill="1" applyBorder="1" applyAlignment="1">
      <alignment vertical="center"/>
    </xf>
    <xf numFmtId="0" fontId="21" fillId="14" borderId="40" xfId="0" applyFont="1" applyFill="1" applyBorder="1" applyAlignment="1">
      <alignment horizontal="left" vertical="center"/>
    </xf>
    <xf numFmtId="0" fontId="21" fillId="14" borderId="40" xfId="0" applyFont="1" applyFill="1" applyBorder="1" applyAlignment="1">
      <alignment horizontal="center" vertical="center"/>
    </xf>
    <xf numFmtId="0" fontId="21" fillId="15" borderId="40" xfId="0" applyFont="1" applyFill="1" applyBorder="1" applyAlignment="1">
      <alignment vertical="center"/>
    </xf>
    <xf numFmtId="0" fontId="21" fillId="13" borderId="40" xfId="0" applyFont="1" applyFill="1" applyBorder="1" applyAlignment="1">
      <alignment horizontal="left" vertical="center"/>
    </xf>
    <xf numFmtId="0" fontId="22" fillId="4" borderId="40" xfId="0" applyFont="1" applyFill="1" applyBorder="1" applyAlignment="1">
      <alignment horizontal="left" vertical="center" wrapText="1"/>
    </xf>
    <xf numFmtId="2" fontId="23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wrapText="1"/>
    </xf>
    <xf numFmtId="0" fontId="19" fillId="0" borderId="40" xfId="0" applyFont="1" applyBorder="1" applyAlignment="1">
      <alignment vertical="center"/>
    </xf>
    <xf numFmtId="49" fontId="19" fillId="0" borderId="40" xfId="0" applyNumberFormat="1" applyFont="1" applyBorder="1" applyAlignment="1">
      <alignment vertical="center"/>
    </xf>
    <xf numFmtId="0" fontId="19" fillId="0" borderId="40" xfId="0" applyFont="1" applyFill="1" applyBorder="1" applyAlignment="1">
      <alignment vertical="center"/>
    </xf>
    <xf numFmtId="43" fontId="19" fillId="0" borderId="40" xfId="1" applyFont="1" applyFill="1" applyBorder="1" applyAlignment="1">
      <alignment horizontal="left" vertical="center"/>
    </xf>
    <xf numFmtId="43" fontId="19" fillId="0" borderId="40" xfId="1" applyFont="1" applyFill="1" applyBorder="1" applyAlignment="1">
      <alignment vertical="center"/>
    </xf>
    <xf numFmtId="0" fontId="19" fillId="0" borderId="0" xfId="0" applyFont="1" applyFill="1" applyBorder="1" applyAlignment="1">
      <alignment horizontal="left" vertical="center" wrapText="1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  <xf numFmtId="0" fontId="24" fillId="0" borderId="0" xfId="0" applyFont="1" applyFill="1" applyBorder="1"/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0" zoomScaleNormal="70" workbookViewId="0"/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18" t="s">
        <v>447</v>
      </c>
      <c r="C1" s="118"/>
      <c r="D1" s="118"/>
      <c r="E1" s="118"/>
      <c r="F1" s="2"/>
      <c r="G1" s="3">
        <v>1</v>
      </c>
      <c r="J1" s="4" t="s">
        <v>14</v>
      </c>
    </row>
    <row r="2" spans="1:26" ht="17.25" customHeight="1" x14ac:dyDescent="0.25">
      <c r="A2" s="5" t="s">
        <v>6</v>
      </c>
      <c r="B2" s="119" t="str">
        <f>VLOOKUP(I3,'Base de Datos'!J2:L195,2,FALSE)</f>
        <v>COMUNIDAD EL MITCH ZONA 0</v>
      </c>
      <c r="C2" s="119"/>
      <c r="D2" s="119"/>
      <c r="E2" s="119"/>
      <c r="F2" s="126" t="str">
        <f>VLOOKUP(I3,'Base de Datos'!J2:L195,3,FALSE)</f>
        <v>PUERTO BARRIOS - GUATEMALA</v>
      </c>
      <c r="G2" s="127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3" t="s">
        <v>448</v>
      </c>
      <c r="C3" s="93"/>
      <c r="D3" s="93"/>
      <c r="E3" s="93"/>
      <c r="F3" s="10"/>
      <c r="G3" s="11"/>
      <c r="I3" s="12">
        <v>1</v>
      </c>
      <c r="J3" s="12">
        <v>1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25" t="str">
        <f>VLOOKUP(J3,'Base de Datos'!A2:F95,2,FALSE)</f>
        <v>1 MAPLE ST</v>
      </c>
      <c r="C4" s="125"/>
      <c r="D4" s="125" t="str">
        <f>VLOOKUP(J3,'Base de Datos'!A2:F95,3,FALSE)</f>
        <v>NEW YORK HILLS</v>
      </c>
      <c r="E4" s="125"/>
      <c r="F4" s="15" t="str">
        <f>VLOOKUP(J3,'Base de Datos'!A2:F95,4,FALSE)</f>
        <v>NY</v>
      </c>
      <c r="G4" s="16">
        <f>VLOOKUP(J3,'Base de Datos'!A2:F95,5,FALSE)</f>
        <v>10080</v>
      </c>
      <c r="L4" s="9"/>
      <c r="M4" s="9"/>
      <c r="N4" s="9"/>
    </row>
    <row r="5" spans="1:26" ht="20.25" customHeight="1" x14ac:dyDescent="0.25">
      <c r="A5" s="14" t="s">
        <v>9</v>
      </c>
      <c r="B5" s="129">
        <v>1231231230</v>
      </c>
      <c r="C5" s="129"/>
      <c r="D5" s="126"/>
      <c r="E5" s="126"/>
      <c r="F5" s="17" t="s">
        <v>4</v>
      </c>
      <c r="G5" s="18">
        <f ca="1">TODAY()</f>
        <v>45545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23" t="s">
        <v>0</v>
      </c>
      <c r="B7" s="124"/>
      <c r="C7" s="124" t="s">
        <v>1</v>
      </c>
      <c r="D7" s="124"/>
      <c r="E7" s="124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98" t="s">
        <v>23</v>
      </c>
      <c r="B8" s="99"/>
      <c r="C8" s="104" t="s">
        <v>449</v>
      </c>
      <c r="D8" s="105"/>
      <c r="E8" s="106"/>
      <c r="F8" s="95">
        <v>45</v>
      </c>
      <c r="G8" s="91" t="s">
        <v>446</v>
      </c>
      <c r="J8" s="24"/>
      <c r="K8" s="24"/>
      <c r="L8" s="24"/>
    </row>
    <row r="9" spans="1:26" ht="15" customHeight="1" x14ac:dyDescent="0.25">
      <c r="A9" s="100"/>
      <c r="B9" s="101"/>
      <c r="C9" s="107"/>
      <c r="D9" s="108"/>
      <c r="E9" s="109"/>
      <c r="F9" s="96"/>
      <c r="G9" s="92"/>
      <c r="I9" s="25"/>
      <c r="J9" s="24"/>
      <c r="K9" s="24"/>
      <c r="L9" s="24"/>
    </row>
    <row r="10" spans="1:26" ht="15" customHeight="1" x14ac:dyDescent="0.2">
      <c r="A10" s="100"/>
      <c r="B10" s="101"/>
      <c r="C10" s="107"/>
      <c r="D10" s="108"/>
      <c r="E10" s="109"/>
      <c r="F10" s="96"/>
      <c r="G10" s="92"/>
      <c r="I10" s="26"/>
      <c r="J10" s="24"/>
      <c r="K10" s="24"/>
      <c r="L10" s="24"/>
    </row>
    <row r="11" spans="1:26" ht="15" customHeight="1" x14ac:dyDescent="0.2">
      <c r="A11" s="100"/>
      <c r="B11" s="101"/>
      <c r="C11" s="107"/>
      <c r="D11" s="108"/>
      <c r="E11" s="109"/>
      <c r="F11" s="96"/>
      <c r="G11" s="92"/>
    </row>
    <row r="12" spans="1:26" ht="27" customHeight="1" x14ac:dyDescent="0.2">
      <c r="A12" s="100"/>
      <c r="B12" s="101"/>
      <c r="C12" s="107"/>
      <c r="D12" s="108"/>
      <c r="E12" s="109"/>
      <c r="F12" s="96" t="s">
        <v>13</v>
      </c>
      <c r="G12" s="92"/>
    </row>
    <row r="13" spans="1:26" ht="25.5" customHeight="1" x14ac:dyDescent="0.35">
      <c r="A13" s="102"/>
      <c r="B13" s="103"/>
      <c r="C13" s="110"/>
      <c r="D13" s="111"/>
      <c r="E13" s="112"/>
      <c r="F13" s="97"/>
      <c r="G13" s="27" t="s">
        <v>444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20" t="s">
        <v>3</v>
      </c>
      <c r="B15" s="121"/>
      <c r="C15" s="122" t="s">
        <v>445</v>
      </c>
      <c r="D15" s="122"/>
      <c r="E15" s="122"/>
      <c r="F15" s="31" t="s">
        <v>7</v>
      </c>
      <c r="G15" s="32" t="str">
        <f>F2</f>
        <v>PUERTO BARRIOS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4" t="s">
        <v>12</v>
      </c>
      <c r="B17" s="94"/>
      <c r="C17" s="94"/>
      <c r="D17" s="94"/>
      <c r="E17" s="94"/>
      <c r="F17" s="94"/>
      <c r="G17" s="94"/>
      <c r="H17" s="26"/>
      <c r="J17" s="130" t="s">
        <v>405</v>
      </c>
      <c r="K17" s="130"/>
      <c r="L17" s="130"/>
      <c r="M17" s="130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30"/>
      <c r="K18" s="130"/>
      <c r="L18" s="130"/>
      <c r="M18" s="130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30"/>
      <c r="K19" s="130"/>
      <c r="L19" s="130"/>
      <c r="M19" s="130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28"/>
      <c r="K21" s="128"/>
      <c r="L21" s="128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28"/>
      <c r="K22" s="128"/>
      <c r="L22" s="128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28"/>
      <c r="K23" s="128"/>
      <c r="L23" s="128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113" t="s">
        <v>320</v>
      </c>
      <c r="J26" s="114"/>
      <c r="K26" s="114"/>
      <c r="L26" s="115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116">
        <f>SUM(Gradle!D2:D1048576)</f>
        <v>20.41</v>
      </c>
      <c r="J27" s="116"/>
      <c r="K27" s="116"/>
      <c r="L27" s="116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17"/>
      <c r="B35" s="117"/>
      <c r="C35" s="117"/>
      <c r="D35" s="117"/>
      <c r="E35" s="117"/>
      <c r="F35" s="117"/>
      <c r="G35" s="117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workbookViewId="0">
      <selection activeCell="A2" sqref="A2"/>
    </sheetView>
  </sheetViews>
  <sheetFormatPr baseColWidth="10" defaultRowHeight="15" x14ac:dyDescent="0.2"/>
  <cols>
    <col min="1" max="1" width="6.28515625" style="53" customWidth="1"/>
    <col min="2" max="5" width="11.42578125" style="53"/>
    <col min="6" max="6" width="92.5703125" style="53" bestFit="1" customWidth="1"/>
    <col min="7" max="7" width="131.42578125" style="53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75" t="s">
        <v>426</v>
      </c>
      <c r="B1" s="75" t="s">
        <v>432</v>
      </c>
      <c r="C1" s="75" t="s">
        <v>439</v>
      </c>
      <c r="D1" s="75" t="s">
        <v>438</v>
      </c>
      <c r="E1" s="75" t="s">
        <v>406</v>
      </c>
      <c r="F1" s="75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1</v>
      </c>
    </row>
    <row r="2" spans="1:21" x14ac:dyDescent="0.2">
      <c r="A2" s="134">
        <v>1</v>
      </c>
      <c r="B2" s="54" t="s">
        <v>446</v>
      </c>
      <c r="C2" s="57">
        <v>45</v>
      </c>
      <c r="D2" s="57">
        <v>20.41</v>
      </c>
      <c r="E2" s="57" t="s">
        <v>444</v>
      </c>
      <c r="F2" s="57" t="s">
        <v>449</v>
      </c>
      <c r="G2" s="57" t="s">
        <v>450</v>
      </c>
      <c r="H2" s="57" t="s">
        <v>447</v>
      </c>
      <c r="I2" s="57" t="s">
        <v>284</v>
      </c>
      <c r="J2" s="57" t="s">
        <v>276</v>
      </c>
      <c r="K2" s="57" t="s">
        <v>448</v>
      </c>
      <c r="L2" s="57">
        <v>1231231230</v>
      </c>
      <c r="M2" s="57" t="s">
        <v>21</v>
      </c>
      <c r="N2" s="57" t="s">
        <v>22</v>
      </c>
      <c r="O2" s="57" t="s">
        <v>18</v>
      </c>
      <c r="P2" s="57">
        <v>10080</v>
      </c>
      <c r="Q2" s="57" t="s">
        <v>445</v>
      </c>
      <c r="R2" s="57">
        <v>10</v>
      </c>
    </row>
    <row r="3" spans="1:21" x14ac:dyDescent="0.2">
      <c r="A3" s="54"/>
      <c r="B3" s="54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21" x14ac:dyDescent="0.2">
      <c r="A4" s="54"/>
      <c r="B4" s="54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21" x14ac:dyDescent="0.2">
      <c r="A5" s="54"/>
      <c r="B5" s="54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  <row r="6" spans="1:21" x14ac:dyDescent="0.2">
      <c r="A6" s="54"/>
      <c r="B6" s="54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</row>
    <row r="7" spans="1:21" x14ac:dyDescent="0.2">
      <c r="A7" s="54"/>
      <c r="B7" s="54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</row>
    <row r="8" spans="1:21" x14ac:dyDescent="0.2">
      <c r="A8" s="54"/>
      <c r="B8" s="54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</row>
    <row r="9" spans="1:21" x14ac:dyDescent="0.2">
      <c r="A9" s="54"/>
      <c r="B9" s="54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</row>
    <row r="10" spans="1:21" x14ac:dyDescent="0.2">
      <c r="A10" s="54"/>
      <c r="B10" s="54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21" x14ac:dyDescent="0.2">
      <c r="A11" s="54"/>
      <c r="B11" s="54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</row>
    <row r="12" spans="1:21" x14ac:dyDescent="0.2">
      <c r="A12" s="54"/>
      <c r="B12" s="54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</row>
    <row r="13" spans="1:21" x14ac:dyDescent="0.2">
      <c r="A13" s="54"/>
      <c r="B13" s="54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1" x14ac:dyDescent="0.2">
      <c r="A14" s="54"/>
      <c r="B14" s="54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</row>
    <row r="15" spans="1:21" x14ac:dyDescent="0.2">
      <c r="A15" s="54"/>
      <c r="B15" s="54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</row>
    <row r="16" spans="1:21" x14ac:dyDescent="0.2">
      <c r="A16" s="54"/>
      <c r="B16" s="54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</row>
    <row r="17" spans="1:18" x14ac:dyDescent="0.2">
      <c r="A17" s="54"/>
      <c r="B17" s="54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</row>
    <row r="18" spans="1:18" x14ac:dyDescent="0.2">
      <c r="A18" s="54"/>
      <c r="B18" s="54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</row>
    <row r="19" spans="1:18" x14ac:dyDescent="0.2">
      <c r="A19" s="54"/>
      <c r="B19" s="54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</row>
    <row r="20" spans="1:18" x14ac:dyDescent="0.2">
      <c r="A20" s="54"/>
      <c r="B20" s="54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</row>
    <row r="21" spans="1:18" x14ac:dyDescent="0.2">
      <c r="A21" s="54"/>
      <c r="B21" s="54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</row>
    <row r="22" spans="1:18" x14ac:dyDescent="0.2">
      <c r="A22" s="54"/>
      <c r="B22" s="54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</row>
    <row r="23" spans="1:18" x14ac:dyDescent="0.2">
      <c r="A23" s="54"/>
      <c r="B23" s="54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</row>
    <row r="24" spans="1:18" x14ac:dyDescent="0.2">
      <c r="A24" s="54"/>
      <c r="B24" s="54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x14ac:dyDescent="0.2">
      <c r="A25" s="54"/>
      <c r="B25" s="54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x14ac:dyDescent="0.2">
      <c r="A26" s="54"/>
      <c r="B26" s="54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x14ac:dyDescent="0.2">
      <c r="A27" s="54"/>
      <c r="B27" s="54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x14ac:dyDescent="0.2">
      <c r="A28" s="54"/>
      <c r="B28" s="54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x14ac:dyDescent="0.2">
      <c r="A29" s="54"/>
      <c r="B29" s="54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x14ac:dyDescent="0.2">
      <c r="A30" s="54"/>
      <c r="B30" s="54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x14ac:dyDescent="0.2">
      <c r="A31" s="54"/>
      <c r="B31" s="54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x14ac:dyDescent="0.2">
      <c r="A32" s="54"/>
      <c r="B32" s="54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x14ac:dyDescent="0.2">
      <c r="A33" s="54"/>
      <c r="B33" s="54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x14ac:dyDescent="0.2">
      <c r="A34" s="54"/>
      <c r="B34" s="54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x14ac:dyDescent="0.2">
      <c r="A35" s="54"/>
      <c r="B35" s="54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x14ac:dyDescent="0.2">
      <c r="A36" s="54"/>
      <c r="B36" s="54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x14ac:dyDescent="0.2">
      <c r="A37" s="54"/>
      <c r="B37" s="54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x14ac:dyDescent="0.2">
      <c r="A38" s="54"/>
      <c r="B38" s="54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x14ac:dyDescent="0.2">
      <c r="A39" s="54"/>
      <c r="B39" s="54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x14ac:dyDescent="0.2">
      <c r="A40" s="54"/>
      <c r="B40" s="54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 x14ac:dyDescent="0.2">
      <c r="A41" s="54"/>
      <c r="B41" s="54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 x14ac:dyDescent="0.2">
      <c r="A42" s="54"/>
      <c r="B42" s="54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 x14ac:dyDescent="0.2">
      <c r="A43" s="54"/>
      <c r="B43" s="54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 x14ac:dyDescent="0.2">
      <c r="A44" s="54"/>
      <c r="B44" s="54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 x14ac:dyDescent="0.2">
      <c r="A45" s="54"/>
      <c r="B45" s="54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 x14ac:dyDescent="0.2">
      <c r="A46" s="54"/>
      <c r="B46" s="54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19"/>
  </sortState>
  <conditionalFormatting sqref="K1:K1048576">
    <cfRule type="duplicateValues" dxfId="47" priority="20"/>
    <cfRule type="duplicateValues" dxfId="46" priority="14"/>
    <cfRule type="duplicateValues" dxfId="45" priority="10"/>
    <cfRule type="duplicateValues" dxfId="44" priority="6"/>
    <cfRule type="duplicateValues" dxfId="43" priority="3"/>
  </conditionalFormatting>
  <conditionalFormatting sqref="L1:L1048576">
    <cfRule type="duplicateValues" dxfId="42" priority="19"/>
    <cfRule type="duplicateValues" dxfId="41" priority="15"/>
    <cfRule type="duplicateValues" dxfId="40" priority="11"/>
    <cfRule type="duplicateValues" dxfId="39" priority="8"/>
    <cfRule type="duplicateValues" dxfId="38" priority="2"/>
  </conditionalFormatting>
  <conditionalFormatting sqref="M1:M1048576">
    <cfRule type="duplicateValues" dxfId="37" priority="18"/>
    <cfRule type="duplicateValues" dxfId="36" priority="13"/>
    <cfRule type="duplicateValues" dxfId="35" priority="9"/>
    <cfRule type="duplicateValues" dxfId="34" priority="5"/>
    <cfRule type="duplicateValues" dxfId="33" priority="1"/>
  </conditionalFormatting>
  <conditionalFormatting sqref="B1:B1048576">
    <cfRule type="duplicateValues" dxfId="32" priority="17"/>
    <cfRule type="duplicateValues" dxfId="31" priority="16"/>
    <cfRule type="duplicateValues" dxfId="30" priority="12"/>
    <cfRule type="duplicateValues" dxfId="29" priority="7"/>
    <cfRule type="duplicateValues" dxfId="28" priority="4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zoomScale="89" zoomScaleNormal="89" workbookViewId="0">
      <selection activeCell="F1" sqref="F1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0.5703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8.85546875" style="53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1" t="s">
        <v>316</v>
      </c>
      <c r="B1" s="131"/>
      <c r="C1" s="131"/>
      <c r="D1" s="131"/>
      <c r="E1" s="131"/>
      <c r="F1" s="50" t="s">
        <v>443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21.75" customHeight="1" x14ac:dyDescent="0.2">
      <c r="A2" s="76" t="s">
        <v>105</v>
      </c>
      <c r="B2" s="76" t="s">
        <v>318</v>
      </c>
      <c r="C2" s="76" t="s">
        <v>106</v>
      </c>
      <c r="D2" s="76" t="s">
        <v>319</v>
      </c>
      <c r="E2" s="76" t="s">
        <v>10</v>
      </c>
      <c r="F2" s="77" t="s">
        <v>321</v>
      </c>
      <c r="G2" s="78" t="s">
        <v>322</v>
      </c>
      <c r="H2" s="78" t="s">
        <v>323</v>
      </c>
      <c r="I2" s="77" t="s">
        <v>107</v>
      </c>
      <c r="J2" s="77" t="s">
        <v>108</v>
      </c>
      <c r="K2" s="79" t="s">
        <v>109</v>
      </c>
      <c r="L2" s="80" t="s">
        <v>324</v>
      </c>
      <c r="M2" s="80" t="s">
        <v>325</v>
      </c>
      <c r="N2" s="80" t="s">
        <v>326</v>
      </c>
      <c r="O2" s="80" t="s">
        <v>327</v>
      </c>
      <c r="P2" s="80" t="s">
        <v>108</v>
      </c>
      <c r="Q2" s="80" t="s">
        <v>109</v>
      </c>
      <c r="R2" s="81" t="s">
        <v>110</v>
      </c>
      <c r="S2" s="82" t="s">
        <v>111</v>
      </c>
      <c r="W2" s="55"/>
      <c r="X2" s="55"/>
      <c r="Y2" s="54"/>
      <c r="AB2" s="56"/>
    </row>
    <row r="3" spans="1:28" ht="15.75" customHeight="1" x14ac:dyDescent="0.2">
      <c r="A3" s="57"/>
      <c r="B3" s="58"/>
      <c r="C3" s="58"/>
      <c r="D3" s="58"/>
      <c r="E3" s="83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W3" s="54"/>
      <c r="X3" s="54"/>
      <c r="Y3" s="54"/>
    </row>
    <row r="4" spans="1:28" ht="15.75" customHeight="1" x14ac:dyDescent="0.2">
      <c r="A4" s="58"/>
      <c r="B4" s="58"/>
      <c r="C4" s="58"/>
      <c r="D4" s="58"/>
      <c r="E4" s="83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W4" s="54"/>
      <c r="X4" s="54"/>
      <c r="Y4" s="54"/>
    </row>
    <row r="5" spans="1:28" ht="13.5" customHeight="1" x14ac:dyDescent="0.2">
      <c r="A5" s="57"/>
      <c r="B5" s="58"/>
      <c r="C5" s="58"/>
      <c r="D5" s="58"/>
      <c r="E5" s="83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</row>
    <row r="6" spans="1:28" ht="19.5" customHeight="1" x14ac:dyDescent="0.2">
      <c r="A6" s="57"/>
      <c r="B6" s="57"/>
      <c r="C6" s="57"/>
      <c r="D6" s="59"/>
      <c r="E6" s="59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9"/>
      <c r="R6" s="84"/>
      <c r="S6" s="58"/>
    </row>
    <row r="7" spans="1:28" ht="21" customHeight="1" x14ac:dyDescent="0.2">
      <c r="A7" s="57"/>
      <c r="B7" s="57"/>
      <c r="C7" s="57"/>
      <c r="D7" s="59"/>
      <c r="E7" s="59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9"/>
      <c r="R7" s="84"/>
      <c r="S7" s="58"/>
    </row>
    <row r="8" spans="1:28" ht="24" customHeight="1" x14ac:dyDescent="0.2">
      <c r="A8" s="57"/>
      <c r="B8" s="57"/>
      <c r="C8" s="57"/>
      <c r="D8" s="59"/>
      <c r="E8" s="59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9"/>
      <c r="R8" s="84"/>
      <c r="S8" s="58"/>
    </row>
    <row r="9" spans="1:28" ht="19.5" customHeight="1" x14ac:dyDescent="0.2">
      <c r="A9" s="57"/>
      <c r="B9" s="57"/>
      <c r="C9" s="57"/>
      <c r="D9" s="59"/>
      <c r="E9" s="59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9"/>
      <c r="R9" s="84"/>
      <c r="S9" s="58"/>
    </row>
    <row r="10" spans="1:28" x14ac:dyDescent="0.2">
      <c r="A10" s="57"/>
      <c r="B10" s="57"/>
      <c r="C10" s="57"/>
      <c r="D10" s="59"/>
      <c r="E10" s="59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9"/>
      <c r="R10" s="84"/>
      <c r="S10" s="58"/>
    </row>
    <row r="11" spans="1:28" x14ac:dyDescent="0.2">
      <c r="A11" s="57"/>
      <c r="B11" s="57"/>
      <c r="C11" s="57"/>
      <c r="D11" s="59"/>
      <c r="E11" s="59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9"/>
      <c r="R11" s="84"/>
      <c r="S11" s="58"/>
    </row>
    <row r="12" spans="1:28" x14ac:dyDescent="0.2">
      <c r="A12" s="57"/>
      <c r="B12" s="57"/>
      <c r="C12" s="57"/>
      <c r="D12" s="59"/>
      <c r="E12" s="59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9"/>
      <c r="R12" s="84"/>
      <c r="S12" s="58"/>
    </row>
    <row r="13" spans="1:28" x14ac:dyDescent="0.2">
      <c r="A13" s="57"/>
      <c r="B13" s="57"/>
      <c r="C13" s="57"/>
      <c r="D13" s="59"/>
      <c r="E13" s="59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9"/>
      <c r="R13" s="84"/>
      <c r="S13" s="58"/>
    </row>
    <row r="14" spans="1:28" x14ac:dyDescent="0.2">
      <c r="A14" s="57"/>
      <c r="B14" s="57"/>
      <c r="C14" s="57"/>
      <c r="D14" s="59"/>
      <c r="E14" s="59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9"/>
      <c r="R14" s="84"/>
      <c r="S14" s="58"/>
    </row>
    <row r="15" spans="1:28" x14ac:dyDescent="0.2">
      <c r="A15" s="57"/>
      <c r="B15" s="57"/>
      <c r="C15" s="57"/>
      <c r="D15" s="59"/>
      <c r="E15" s="59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9"/>
      <c r="R15" s="84"/>
      <c r="S15" s="58"/>
    </row>
    <row r="16" spans="1:28" x14ac:dyDescent="0.2">
      <c r="A16" s="57"/>
      <c r="B16" s="57"/>
      <c r="C16" s="57"/>
      <c r="D16" s="59"/>
      <c r="E16" s="59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9"/>
      <c r="R16" s="84"/>
      <c r="S16" s="58"/>
    </row>
    <row r="17" spans="1:19" x14ac:dyDescent="0.2">
      <c r="A17" s="57"/>
      <c r="B17" s="57"/>
      <c r="C17" s="57"/>
      <c r="D17" s="59"/>
      <c r="E17" s="59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9"/>
      <c r="R17" s="84"/>
      <c r="S17" s="58"/>
    </row>
    <row r="18" spans="1:19" x14ac:dyDescent="0.2">
      <c r="A18" s="57"/>
      <c r="B18" s="57"/>
      <c r="C18" s="57"/>
      <c r="D18" s="59"/>
      <c r="E18" s="59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9"/>
      <c r="R18" s="84"/>
      <c r="S18" s="58"/>
    </row>
    <row r="19" spans="1:19" x14ac:dyDescent="0.2">
      <c r="A19" s="57"/>
      <c r="B19" s="57"/>
      <c r="C19" s="57"/>
      <c r="D19" s="59"/>
      <c r="E19" s="59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9"/>
      <c r="R19" s="84"/>
      <c r="S19" s="58"/>
    </row>
    <row r="20" spans="1:19" x14ac:dyDescent="0.2">
      <c r="A20" s="57"/>
      <c r="B20" s="57"/>
      <c r="C20" s="57"/>
      <c r="D20" s="59"/>
      <c r="E20" s="59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9"/>
      <c r="R20" s="84"/>
      <c r="S20" s="58"/>
    </row>
    <row r="21" spans="1:19" x14ac:dyDescent="0.2">
      <c r="A21" s="57"/>
      <c r="B21" s="57"/>
      <c r="C21" s="57"/>
      <c r="D21" s="59"/>
      <c r="E21" s="59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9"/>
      <c r="R21" s="84"/>
      <c r="S21" s="58"/>
    </row>
    <row r="22" spans="1:19" x14ac:dyDescent="0.2">
      <c r="A22" s="57"/>
      <c r="B22" s="57"/>
      <c r="C22" s="57"/>
      <c r="D22" s="59"/>
      <c r="E22" s="59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9"/>
      <c r="R22" s="84"/>
      <c r="S22" s="58"/>
    </row>
    <row r="23" spans="1:19" x14ac:dyDescent="0.2">
      <c r="A23" s="57"/>
      <c r="B23" s="57"/>
      <c r="C23" s="57"/>
      <c r="D23" s="59"/>
      <c r="E23" s="59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9"/>
      <c r="R23" s="84"/>
      <c r="S23" s="58"/>
    </row>
    <row r="24" spans="1:19" x14ac:dyDescent="0.2">
      <c r="A24" s="57"/>
      <c r="B24" s="57"/>
      <c r="C24" s="57"/>
      <c r="D24" s="59"/>
      <c r="E24" s="59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9"/>
      <c r="R24" s="84"/>
      <c r="S24" s="58"/>
    </row>
    <row r="25" spans="1:19" x14ac:dyDescent="0.2">
      <c r="A25" s="57"/>
      <c r="B25" s="57"/>
      <c r="C25" s="57"/>
      <c r="D25" s="59"/>
      <c r="E25" s="59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9"/>
      <c r="R25" s="84"/>
      <c r="S25" s="58"/>
    </row>
    <row r="26" spans="1:19" x14ac:dyDescent="0.2">
      <c r="A26" s="57"/>
      <c r="B26" s="57"/>
      <c r="C26" s="57"/>
      <c r="D26" s="59"/>
      <c r="E26" s="59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9"/>
      <c r="R26" s="84"/>
      <c r="S26" s="58"/>
    </row>
    <row r="27" spans="1:19" x14ac:dyDescent="0.2">
      <c r="A27" s="57"/>
      <c r="B27" s="57"/>
      <c r="C27" s="57"/>
      <c r="D27" s="59"/>
      <c r="E27" s="59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9"/>
      <c r="R27" s="84"/>
      <c r="S27" s="58"/>
    </row>
    <row r="28" spans="1:19" x14ac:dyDescent="0.2">
      <c r="A28" s="57"/>
      <c r="B28" s="57"/>
      <c r="C28" s="57"/>
      <c r="D28" s="59"/>
      <c r="E28" s="59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9"/>
      <c r="R28" s="84"/>
      <c r="S28" s="58"/>
    </row>
    <row r="29" spans="1:19" x14ac:dyDescent="0.2">
      <c r="A29" s="57"/>
      <c r="B29" s="57"/>
      <c r="C29" s="57"/>
      <c r="D29" s="59"/>
      <c r="E29" s="59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9"/>
      <c r="R29" s="84"/>
      <c r="S29" s="58"/>
    </row>
    <row r="30" spans="1:19" x14ac:dyDescent="0.2">
      <c r="A30" s="57"/>
      <c r="B30" s="57"/>
      <c r="C30" s="57"/>
      <c r="D30" s="59"/>
      <c r="E30" s="59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9"/>
      <c r="R30" s="84"/>
      <c r="S30" s="59"/>
    </row>
    <row r="31" spans="1:19" x14ac:dyDescent="0.2">
      <c r="A31" s="57"/>
      <c r="B31" s="57"/>
      <c r="C31" s="57"/>
      <c r="D31" s="59"/>
      <c r="E31" s="59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9"/>
      <c r="R31" s="84"/>
      <c r="S31" s="59"/>
    </row>
    <row r="32" spans="1:19" x14ac:dyDescent="0.2">
      <c r="A32" s="57"/>
      <c r="B32" s="57"/>
      <c r="C32" s="57"/>
      <c r="D32" s="59"/>
      <c r="E32" s="59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9"/>
      <c r="R32" s="84"/>
      <c r="S32" s="59"/>
    </row>
    <row r="33" spans="1:19" x14ac:dyDescent="0.2">
      <c r="A33" s="57"/>
      <c r="B33" s="57"/>
      <c r="C33" s="57"/>
      <c r="D33" s="59"/>
      <c r="E33" s="59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9"/>
      <c r="R33" s="84"/>
      <c r="S33" s="59"/>
    </row>
    <row r="34" spans="1:19" x14ac:dyDescent="0.2">
      <c r="A34" s="57"/>
      <c r="B34" s="57"/>
      <c r="C34" s="57"/>
      <c r="D34" s="59"/>
      <c r="E34" s="59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9"/>
      <c r="R34" s="84"/>
      <c r="S34" s="59"/>
    </row>
    <row r="35" spans="1:19" x14ac:dyDescent="0.2">
      <c r="A35" s="57"/>
      <c r="B35" s="57"/>
      <c r="C35" s="57"/>
      <c r="D35" s="59"/>
      <c r="E35" s="59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9"/>
      <c r="R35" s="84"/>
      <c r="S35" s="59"/>
    </row>
    <row r="36" spans="1:19" x14ac:dyDescent="0.2">
      <c r="A36" s="57"/>
      <c r="B36" s="57"/>
      <c r="C36" s="57"/>
      <c r="D36" s="59"/>
      <c r="E36" s="59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9"/>
      <c r="R36" s="84"/>
      <c r="S36" s="59"/>
    </row>
    <row r="37" spans="1:19" x14ac:dyDescent="0.2">
      <c r="A37" s="57"/>
      <c r="B37" s="57"/>
      <c r="C37" s="57"/>
      <c r="D37" s="59"/>
      <c r="E37" s="59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9"/>
      <c r="R37" s="84"/>
      <c r="S37" s="59"/>
    </row>
    <row r="38" spans="1:19" x14ac:dyDescent="0.2">
      <c r="A38" s="57"/>
      <c r="B38" s="57"/>
      <c r="C38" s="57"/>
      <c r="D38" s="59"/>
      <c r="E38" s="59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9"/>
      <c r="R38" s="84"/>
      <c r="S38" s="59"/>
    </row>
    <row r="39" spans="1:19" x14ac:dyDescent="0.2">
      <c r="A39" s="57"/>
      <c r="B39" s="57"/>
      <c r="C39" s="57"/>
      <c r="D39" s="59"/>
      <c r="E39" s="59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9"/>
      <c r="R39" s="57"/>
      <c r="S39" s="59"/>
    </row>
    <row r="40" spans="1:19" x14ac:dyDescent="0.2">
      <c r="A40" s="57"/>
      <c r="B40" s="57"/>
      <c r="C40" s="57"/>
      <c r="D40" s="59"/>
      <c r="E40" s="59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9"/>
      <c r="R40" s="57"/>
      <c r="S40" s="59"/>
    </row>
    <row r="41" spans="1:19" x14ac:dyDescent="0.2">
      <c r="A41" s="57"/>
      <c r="B41" s="57"/>
      <c r="C41" s="57"/>
      <c r="D41" s="59"/>
      <c r="E41" s="59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9"/>
      <c r="R41" s="57"/>
      <c r="S41" s="59"/>
    </row>
    <row r="42" spans="1:19" x14ac:dyDescent="0.2">
      <c r="A42" s="57"/>
      <c r="B42" s="57"/>
      <c r="C42" s="57"/>
      <c r="D42" s="59"/>
      <c r="E42" s="59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9"/>
      <c r="R42" s="57"/>
      <c r="S42" s="59"/>
    </row>
    <row r="43" spans="1:19" x14ac:dyDescent="0.2">
      <c r="A43" s="57"/>
      <c r="B43" s="57"/>
      <c r="C43" s="57"/>
      <c r="D43" s="59"/>
      <c r="E43" s="59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9"/>
      <c r="R43" s="57"/>
      <c r="S43" s="59"/>
    </row>
    <row r="44" spans="1:19" x14ac:dyDescent="0.2">
      <c r="A44" s="57"/>
      <c r="B44" s="57"/>
      <c r="C44" s="57"/>
      <c r="D44" s="59"/>
      <c r="E44" s="59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9"/>
      <c r="R44" s="57"/>
      <c r="S44" s="59"/>
    </row>
    <row r="45" spans="1:19" x14ac:dyDescent="0.2">
      <c r="A45" s="57"/>
      <c r="B45" s="57"/>
      <c r="C45" s="57"/>
      <c r="D45" s="59"/>
      <c r="E45" s="59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9"/>
      <c r="R45" s="57"/>
      <c r="S45" s="59"/>
    </row>
    <row r="46" spans="1:19" x14ac:dyDescent="0.2">
      <c r="A46" s="57"/>
      <c r="B46" s="57"/>
      <c r="C46" s="57"/>
      <c r="D46" s="59"/>
      <c r="E46" s="59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9"/>
      <c r="R46" s="57"/>
      <c r="S46" s="59"/>
    </row>
    <row r="47" spans="1:19" x14ac:dyDescent="0.2">
      <c r="A47" s="57"/>
      <c r="B47" s="57"/>
      <c r="C47" s="57"/>
      <c r="D47" s="59"/>
      <c r="E47" s="59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9"/>
      <c r="R47" s="57"/>
      <c r="S47" s="59"/>
    </row>
    <row r="48" spans="1:19" x14ac:dyDescent="0.2">
      <c r="A48" s="57"/>
      <c r="B48" s="57"/>
      <c r="C48" s="57"/>
      <c r="D48" s="59"/>
      <c r="E48" s="59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2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zoomScale="89" zoomScaleNormal="89" workbookViewId="0">
      <selection activeCell="E7" sqref="E7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20.425781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21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25.710937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3" t="s">
        <v>316</v>
      </c>
      <c r="B1" s="133"/>
      <c r="C1" s="133"/>
      <c r="D1" s="40" t="s">
        <v>443</v>
      </c>
      <c r="E1" s="62"/>
      <c r="F1" s="132"/>
      <c r="G1" s="132"/>
      <c r="H1" s="6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5" t="s">
        <v>378</v>
      </c>
      <c r="B2" s="85" t="s">
        <v>379</v>
      </c>
      <c r="C2" s="85" t="s">
        <v>380</v>
      </c>
      <c r="D2" s="86" t="s">
        <v>381</v>
      </c>
      <c r="E2" s="87" t="s">
        <v>382</v>
      </c>
      <c r="F2" s="87" t="s">
        <v>328</v>
      </c>
      <c r="G2" s="87" t="s">
        <v>329</v>
      </c>
      <c r="H2" s="87" t="s">
        <v>330</v>
      </c>
      <c r="I2" s="87" t="s">
        <v>331</v>
      </c>
      <c r="J2" s="87" t="s">
        <v>332</v>
      </c>
      <c r="K2" s="88" t="s">
        <v>333</v>
      </c>
      <c r="L2" s="87" t="s">
        <v>334</v>
      </c>
      <c r="M2" s="87" t="s">
        <v>335</v>
      </c>
      <c r="N2" s="87" t="s">
        <v>336</v>
      </c>
      <c r="O2" s="87" t="s">
        <v>337</v>
      </c>
      <c r="P2" s="87" t="s">
        <v>338</v>
      </c>
      <c r="Q2" s="87" t="s">
        <v>339</v>
      </c>
      <c r="R2" s="87" t="s">
        <v>340</v>
      </c>
      <c r="S2" s="87" t="s">
        <v>341</v>
      </c>
      <c r="T2" s="87" t="s">
        <v>342</v>
      </c>
      <c r="U2" s="87" t="s">
        <v>343</v>
      </c>
      <c r="V2" s="87" t="s">
        <v>344</v>
      </c>
      <c r="W2" s="87" t="s">
        <v>345</v>
      </c>
      <c r="X2" s="87" t="s">
        <v>346</v>
      </c>
      <c r="Y2" s="87" t="s">
        <v>347</v>
      </c>
      <c r="Z2" s="87" t="s">
        <v>348</v>
      </c>
      <c r="AA2" s="87" t="s">
        <v>349</v>
      </c>
      <c r="AB2" s="87" t="s">
        <v>350</v>
      </c>
      <c r="AC2" s="87" t="s">
        <v>351</v>
      </c>
      <c r="AD2" s="87" t="s">
        <v>352</v>
      </c>
      <c r="AE2" s="87" t="s">
        <v>353</v>
      </c>
      <c r="AF2" s="87" t="s">
        <v>354</v>
      </c>
      <c r="AG2" s="87" t="s">
        <v>355</v>
      </c>
      <c r="AH2" s="87" t="s">
        <v>356</v>
      </c>
      <c r="AI2" s="87" t="s">
        <v>357</v>
      </c>
      <c r="AJ2" s="87" t="s">
        <v>358</v>
      </c>
      <c r="AK2" s="87" t="s">
        <v>359</v>
      </c>
      <c r="AL2" s="87" t="s">
        <v>360</v>
      </c>
      <c r="AM2" s="87" t="s">
        <v>361</v>
      </c>
      <c r="AN2" s="87" t="s">
        <v>362</v>
      </c>
      <c r="AO2" s="87" t="s">
        <v>363</v>
      </c>
      <c r="AP2" s="87" t="s">
        <v>364</v>
      </c>
      <c r="AQ2" s="87" t="s">
        <v>365</v>
      </c>
      <c r="AR2" s="87" t="s">
        <v>366</v>
      </c>
      <c r="AS2" s="87" t="s">
        <v>367</v>
      </c>
      <c r="AT2" s="87" t="s">
        <v>368</v>
      </c>
      <c r="AU2" s="87" t="s">
        <v>369</v>
      </c>
      <c r="AV2" s="87" t="s">
        <v>370</v>
      </c>
      <c r="AW2" s="87" t="s">
        <v>371</v>
      </c>
      <c r="AX2" s="87" t="s">
        <v>372</v>
      </c>
      <c r="AY2" s="87" t="s">
        <v>373</v>
      </c>
      <c r="AZ2" s="89" t="s">
        <v>374</v>
      </c>
      <c r="BA2" s="87" t="s">
        <v>375</v>
      </c>
      <c r="BB2" s="87" t="s">
        <v>376</v>
      </c>
      <c r="BC2" s="87" t="s">
        <v>377</v>
      </c>
      <c r="BD2" s="87" t="s">
        <v>111</v>
      </c>
    </row>
    <row r="3" spans="1:56" s="45" customFormat="1" ht="16.5" customHeight="1" x14ac:dyDescent="0.25">
      <c r="K3" s="37"/>
      <c r="L3" s="90"/>
    </row>
    <row r="4" spans="1:56" s="45" customFormat="1" x14ac:dyDescent="0.25">
      <c r="K4" s="37"/>
      <c r="L4" s="90"/>
    </row>
    <row r="5" spans="1:56" s="45" customFormat="1" ht="15.75" customHeight="1" x14ac:dyDescent="0.25">
      <c r="K5" s="37"/>
      <c r="L5" s="90"/>
    </row>
    <row r="6" spans="1:56" s="45" customFormat="1" x14ac:dyDescent="0.25">
      <c r="K6" s="37"/>
      <c r="L6" s="38"/>
    </row>
    <row r="7" spans="1:56" s="45" customFormat="1" x14ac:dyDescent="0.25">
      <c r="K7" s="37"/>
      <c r="L7" s="38"/>
    </row>
    <row r="8" spans="1:56" s="45" customFormat="1" ht="15.75" customHeight="1" x14ac:dyDescent="0.25">
      <c r="K8" s="37"/>
      <c r="L8" s="38"/>
    </row>
    <row r="9" spans="1:56" s="45" customFormat="1" ht="15" customHeight="1" x14ac:dyDescent="0.25">
      <c r="K9" s="37"/>
      <c r="L9" s="38"/>
    </row>
    <row r="10" spans="1:56" s="45" customFormat="1" ht="15.75" customHeight="1" x14ac:dyDescent="0.25">
      <c r="K10" s="37"/>
      <c r="L10" s="38"/>
    </row>
    <row r="11" spans="1:56" s="45" customFormat="1" ht="15.75" customHeight="1" x14ac:dyDescent="0.25">
      <c r="K11" s="37"/>
      <c r="L11" s="38"/>
    </row>
    <row r="12" spans="1:56" s="45" customFormat="1" ht="16.5" customHeight="1" x14ac:dyDescent="0.25">
      <c r="K12" s="37"/>
      <c r="L12" s="38"/>
    </row>
    <row r="13" spans="1:56" s="45" customFormat="1" x14ac:dyDescent="0.25">
      <c r="K13" s="37"/>
      <c r="L13" s="38"/>
    </row>
    <row r="14" spans="1:56" s="45" customFormat="1" x14ac:dyDescent="0.25">
      <c r="K14" s="37"/>
      <c r="L14" s="38"/>
    </row>
    <row r="15" spans="1:56" s="45" customFormat="1" ht="14.25" customHeight="1" x14ac:dyDescent="0.25">
      <c r="K15" s="37"/>
      <c r="L15" s="38"/>
    </row>
    <row r="16" spans="1:56" s="45" customFormat="1" ht="13.5" customHeight="1" x14ac:dyDescent="0.25">
      <c r="K16" s="37"/>
      <c r="L16" s="38"/>
    </row>
    <row r="17" spans="11:12" s="45" customFormat="1" x14ac:dyDescent="0.25">
      <c r="K17" s="37"/>
      <c r="L17" s="38"/>
    </row>
    <row r="18" spans="11:12" s="45" customFormat="1" x14ac:dyDescent="0.25">
      <c r="K18" s="37"/>
      <c r="L18" s="38"/>
    </row>
    <row r="19" spans="11:12" s="45" customFormat="1" x14ac:dyDescent="0.25">
      <c r="K19" s="37"/>
      <c r="L19" s="38"/>
    </row>
    <row r="20" spans="11:12" s="45" customFormat="1" x14ac:dyDescent="0.25">
      <c r="K20" s="37"/>
      <c r="L20" s="38"/>
    </row>
    <row r="21" spans="11:12" s="45" customFormat="1" ht="15.75" customHeight="1" x14ac:dyDescent="0.25">
      <c r="K21" s="37"/>
      <c r="L21" s="38"/>
    </row>
    <row r="22" spans="11:12" s="45" customFormat="1" ht="15.75" customHeight="1" x14ac:dyDescent="0.25">
      <c r="K22" s="37"/>
      <c r="L22" s="38"/>
    </row>
    <row r="23" spans="11:12" s="45" customFormat="1" x14ac:dyDescent="0.25">
      <c r="K23" s="37"/>
      <c r="L23" s="38"/>
    </row>
    <row r="24" spans="11:12" s="45" customFormat="1" x14ac:dyDescent="0.25">
      <c r="K24" s="37"/>
      <c r="L24" s="38"/>
    </row>
    <row r="25" spans="11:12" s="45" customFormat="1" ht="15.75" customHeight="1" x14ac:dyDescent="0.25">
      <c r="K25" s="37"/>
      <c r="L25" s="38"/>
    </row>
    <row r="26" spans="11:12" s="45" customFormat="1" x14ac:dyDescent="0.25">
      <c r="K26" s="37"/>
      <c r="L26" s="38"/>
    </row>
    <row r="27" spans="11:12" s="45" customFormat="1" ht="15.75" customHeight="1" x14ac:dyDescent="0.25">
      <c r="K27" s="37"/>
      <c r="L27" s="38"/>
    </row>
    <row r="28" spans="11:12" s="45" customFormat="1" ht="14.25" customHeight="1" x14ac:dyDescent="0.25">
      <c r="K28" s="37"/>
      <c r="L28" s="38"/>
    </row>
    <row r="29" spans="11:12" s="45" customFormat="1" x14ac:dyDescent="0.25">
      <c r="K29" s="37"/>
      <c r="L29" s="38"/>
    </row>
    <row r="30" spans="11:12" s="45" customFormat="1" ht="15" customHeight="1" x14ac:dyDescent="0.25">
      <c r="K30" s="37"/>
      <c r="L30" s="38"/>
    </row>
    <row r="31" spans="11:12" s="45" customFormat="1" x14ac:dyDescent="0.25">
      <c r="K31" s="37"/>
      <c r="L31" s="38"/>
    </row>
    <row r="32" spans="11:12" s="45" customFormat="1" x14ac:dyDescent="0.25">
      <c r="K32" s="37"/>
      <c r="L32" s="38"/>
    </row>
    <row r="33" spans="11:12" s="45" customFormat="1" ht="17.25" customHeight="1" x14ac:dyDescent="0.25">
      <c r="K33" s="37"/>
      <c r="L33" s="38"/>
    </row>
    <row r="34" spans="11:12" s="45" customFormat="1" ht="14.25" customHeight="1" x14ac:dyDescent="0.25">
      <c r="K34" s="37"/>
      <c r="L34" s="38"/>
    </row>
    <row r="35" spans="11:12" s="45" customFormat="1" ht="15.75" customHeight="1" x14ac:dyDescent="0.25">
      <c r="K35" s="37"/>
      <c r="L35" s="38"/>
    </row>
    <row r="36" spans="11:12" s="45" customFormat="1" ht="14.25" customHeight="1" x14ac:dyDescent="0.25">
      <c r="K36" s="37"/>
      <c r="L36" s="38"/>
    </row>
    <row r="37" spans="11:12" s="45" customFormat="1" x14ac:dyDescent="0.25">
      <c r="K37" s="37"/>
      <c r="L37" s="38"/>
    </row>
    <row r="38" spans="11:12" s="45" customFormat="1" ht="15" customHeight="1" x14ac:dyDescent="0.25">
      <c r="K38" s="37"/>
      <c r="L38" s="38"/>
    </row>
    <row r="39" spans="11:12" s="45" customFormat="1" ht="15" customHeight="1" x14ac:dyDescent="0.25">
      <c r="K39" s="37"/>
      <c r="L39" s="38"/>
    </row>
    <row r="40" spans="11:12" s="45" customFormat="1" x14ac:dyDescent="0.25">
      <c r="K40" s="37"/>
      <c r="L40" s="38"/>
    </row>
    <row r="41" spans="11:12" s="45" customFormat="1" ht="15" customHeight="1" x14ac:dyDescent="0.25">
      <c r="K41" s="37"/>
      <c r="L41" s="38"/>
    </row>
    <row r="42" spans="11:12" s="45" customFormat="1" x14ac:dyDescent="0.25">
      <c r="K42" s="37"/>
      <c r="L42" s="38"/>
    </row>
    <row r="43" spans="11:12" s="45" customFormat="1" x14ac:dyDescent="0.25">
      <c r="K43" s="37"/>
      <c r="L43" s="38"/>
    </row>
    <row r="44" spans="11:12" s="45" customFormat="1" x14ac:dyDescent="0.25">
      <c r="K44" s="37"/>
      <c r="L44" s="38"/>
    </row>
    <row r="45" spans="11:12" s="45" customFormat="1" x14ac:dyDescent="0.25">
      <c r="K45" s="37"/>
      <c r="L45" s="38"/>
    </row>
    <row r="46" spans="11:12" s="45" customFormat="1" x14ac:dyDescent="0.25">
      <c r="K46" s="37"/>
      <c r="L46" s="38"/>
    </row>
    <row r="47" spans="11:12" s="45" customFormat="1" ht="14.25" customHeight="1" x14ac:dyDescent="0.25">
      <c r="K47" s="37"/>
      <c r="L47" s="38"/>
    </row>
    <row r="48" spans="11:12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s="45" customFormat="1" ht="15" customHeight="1" x14ac:dyDescent="0.25">
      <c r="K50" s="37"/>
      <c r="L50" s="38"/>
    </row>
    <row r="51" spans="1:56" ht="15.7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4" t="s">
        <v>17</v>
      </c>
      <c r="B1" s="64" t="s">
        <v>15</v>
      </c>
      <c r="C1" s="64" t="s">
        <v>19</v>
      </c>
      <c r="D1" s="64" t="s">
        <v>16</v>
      </c>
      <c r="E1" s="64" t="s">
        <v>20</v>
      </c>
      <c r="F1" s="64" t="s">
        <v>24</v>
      </c>
      <c r="G1" s="64" t="s">
        <v>104</v>
      </c>
      <c r="J1" s="64" t="s">
        <v>17</v>
      </c>
      <c r="K1" s="64" t="s">
        <v>15</v>
      </c>
      <c r="L1" s="64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7">
        <v>1</v>
      </c>
      <c r="K2" s="51" t="s">
        <v>284</v>
      </c>
      <c r="L2" s="51" t="s">
        <v>276</v>
      </c>
      <c r="N2" s="65"/>
      <c r="O2" s="65"/>
      <c r="P2" s="65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7">
        <v>2</v>
      </c>
      <c r="K3" s="51" t="s">
        <v>204</v>
      </c>
      <c r="L3" s="51" t="s">
        <v>271</v>
      </c>
      <c r="N3" s="65"/>
      <c r="O3" s="65"/>
      <c r="P3" s="65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7">
        <v>3</v>
      </c>
      <c r="K4" s="51" t="s">
        <v>268</v>
      </c>
      <c r="L4" s="51" t="s">
        <v>275</v>
      </c>
      <c r="N4" s="65"/>
      <c r="O4" s="65"/>
      <c r="P4" s="65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7">
        <v>4</v>
      </c>
      <c r="K5" s="51" t="s">
        <v>127</v>
      </c>
      <c r="L5" s="51" t="s">
        <v>269</v>
      </c>
      <c r="N5" s="65"/>
      <c r="O5" s="65"/>
      <c r="P5" s="65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7">
        <v>5</v>
      </c>
      <c r="K6" s="51" t="s">
        <v>257</v>
      </c>
      <c r="L6" s="51" t="s">
        <v>274</v>
      </c>
      <c r="N6" s="65"/>
      <c r="O6" s="65"/>
      <c r="P6" s="65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7">
        <v>6</v>
      </c>
      <c r="K7" s="51" t="s">
        <v>169</v>
      </c>
      <c r="L7" s="51" t="s">
        <v>163</v>
      </c>
      <c r="N7" s="65"/>
      <c r="O7" s="65"/>
      <c r="P7" s="65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7">
        <v>7</v>
      </c>
      <c r="K8" s="51" t="s">
        <v>157</v>
      </c>
      <c r="L8" s="51" t="s">
        <v>270</v>
      </c>
      <c r="N8" s="65"/>
      <c r="O8" s="65"/>
      <c r="P8" s="65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7">
        <v>8</v>
      </c>
      <c r="K9" s="51" t="s">
        <v>119</v>
      </c>
      <c r="L9" s="51" t="s">
        <v>269</v>
      </c>
      <c r="N9" s="65"/>
      <c r="O9" s="65"/>
      <c r="P9" s="65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7">
        <v>9</v>
      </c>
      <c r="K10" s="51" t="s">
        <v>224</v>
      </c>
      <c r="L10" s="51" t="s">
        <v>272</v>
      </c>
      <c r="N10" s="65"/>
      <c r="O10" s="65"/>
      <c r="P10" s="65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7">
        <v>10</v>
      </c>
      <c r="K11" s="51" t="s">
        <v>235</v>
      </c>
      <c r="L11" s="51" t="s">
        <v>273</v>
      </c>
      <c r="N11" s="65"/>
      <c r="O11" s="65"/>
      <c r="P11" s="65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7">
        <v>11</v>
      </c>
      <c r="K12" s="51" t="s">
        <v>168</v>
      </c>
      <c r="L12" s="51" t="s">
        <v>163</v>
      </c>
      <c r="N12" s="65"/>
      <c r="O12" s="65"/>
      <c r="P12" s="65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7">
        <v>12</v>
      </c>
      <c r="K13" s="51" t="s">
        <v>216</v>
      </c>
      <c r="L13" s="51" t="s">
        <v>272</v>
      </c>
      <c r="N13" s="65"/>
      <c r="O13" s="65"/>
      <c r="P13" s="65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7">
        <v>13</v>
      </c>
      <c r="K14" s="51" t="s">
        <v>198</v>
      </c>
      <c r="L14" s="51" t="s">
        <v>271</v>
      </c>
      <c r="N14" s="65"/>
      <c r="O14" s="65"/>
      <c r="P14" s="65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7">
        <v>14</v>
      </c>
      <c r="K15" s="51" t="s">
        <v>197</v>
      </c>
      <c r="L15" s="51" t="s">
        <v>271</v>
      </c>
      <c r="N15" s="65"/>
      <c r="O15" s="65"/>
      <c r="P15" s="65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7">
        <v>15</v>
      </c>
      <c r="K16" s="51" t="s">
        <v>153</v>
      </c>
      <c r="L16" s="51" t="s">
        <v>270</v>
      </c>
      <c r="N16" s="65"/>
      <c r="O16" s="65"/>
      <c r="P16" s="65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7">
        <v>16</v>
      </c>
      <c r="K17" s="51" t="s">
        <v>299</v>
      </c>
      <c r="L17" s="51" t="s">
        <v>271</v>
      </c>
      <c r="N17" s="65"/>
      <c r="O17" s="65"/>
      <c r="P17" s="65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7">
        <v>17</v>
      </c>
      <c r="K18" s="51" t="s">
        <v>226</v>
      </c>
      <c r="L18" s="51" t="s">
        <v>272</v>
      </c>
      <c r="N18" s="65"/>
      <c r="O18" s="65"/>
      <c r="P18" s="65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7">
        <v>18</v>
      </c>
      <c r="K19" s="51" t="s">
        <v>141</v>
      </c>
      <c r="L19" s="51" t="s">
        <v>270</v>
      </c>
      <c r="N19" s="65"/>
      <c r="O19" s="65"/>
      <c r="P19" s="65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7">
        <v>19</v>
      </c>
      <c r="K20" s="51" t="s">
        <v>225</v>
      </c>
      <c r="L20" s="51" t="s">
        <v>272</v>
      </c>
      <c r="N20" s="65"/>
      <c r="O20" s="65"/>
      <c r="P20" s="65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7">
        <v>20</v>
      </c>
      <c r="K21" s="51" t="s">
        <v>205</v>
      </c>
      <c r="L21" s="51" t="s">
        <v>271</v>
      </c>
      <c r="N21" s="65"/>
      <c r="O21" s="65"/>
      <c r="P21" s="65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7">
        <v>21</v>
      </c>
      <c r="K22" s="51" t="s">
        <v>150</v>
      </c>
      <c r="L22" s="51" t="s">
        <v>270</v>
      </c>
      <c r="N22" s="65"/>
      <c r="O22" s="65"/>
      <c r="P22" s="65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7">
        <v>22</v>
      </c>
      <c r="K23" s="51" t="s">
        <v>138</v>
      </c>
      <c r="L23" s="51" t="s">
        <v>270</v>
      </c>
      <c r="N23" s="65"/>
      <c r="O23" s="65"/>
      <c r="P23" s="65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7">
        <v>23</v>
      </c>
      <c r="K24" s="51" t="s">
        <v>260</v>
      </c>
      <c r="L24" s="51" t="s">
        <v>275</v>
      </c>
      <c r="N24" s="65"/>
      <c r="O24" s="65"/>
      <c r="P24" s="65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7">
        <v>24</v>
      </c>
      <c r="K25" s="51" t="s">
        <v>208</v>
      </c>
      <c r="L25" s="51" t="s">
        <v>271</v>
      </c>
      <c r="N25" s="65"/>
      <c r="O25" s="65"/>
      <c r="P25" s="65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7">
        <v>25</v>
      </c>
      <c r="K26" s="51" t="s">
        <v>183</v>
      </c>
      <c r="L26" s="51" t="s">
        <v>113</v>
      </c>
      <c r="N26" s="65"/>
      <c r="O26" s="65"/>
      <c r="P26" s="65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7">
        <v>26</v>
      </c>
      <c r="K27" s="51" t="s">
        <v>122</v>
      </c>
      <c r="L27" s="51" t="s">
        <v>269</v>
      </c>
      <c r="N27" s="65"/>
      <c r="O27" s="65"/>
      <c r="P27" s="65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7">
        <v>27</v>
      </c>
      <c r="K28" s="51" t="s">
        <v>184</v>
      </c>
      <c r="L28" s="51" t="s">
        <v>113</v>
      </c>
      <c r="N28" s="65"/>
      <c r="O28" s="65"/>
      <c r="P28" s="65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7">
        <v>28</v>
      </c>
      <c r="K29" s="51" t="s">
        <v>277</v>
      </c>
      <c r="L29" s="51" t="s">
        <v>276</v>
      </c>
      <c r="N29" s="65"/>
      <c r="O29" s="65"/>
      <c r="P29" s="65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7">
        <v>29</v>
      </c>
      <c r="K30" s="51" t="s">
        <v>140</v>
      </c>
      <c r="L30" s="51" t="s">
        <v>270</v>
      </c>
      <c r="N30" s="65"/>
      <c r="O30" s="65"/>
      <c r="P30" s="65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7">
        <v>30</v>
      </c>
      <c r="K31" s="51" t="s">
        <v>148</v>
      </c>
      <c r="L31" s="51" t="s">
        <v>270</v>
      </c>
      <c r="N31" s="65"/>
      <c r="O31" s="65"/>
      <c r="P31" s="65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7">
        <v>31</v>
      </c>
      <c r="K32" s="51" t="s">
        <v>156</v>
      </c>
      <c r="L32" s="51" t="s">
        <v>270</v>
      </c>
      <c r="N32" s="65"/>
      <c r="O32" s="65"/>
      <c r="P32" s="65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7">
        <v>32</v>
      </c>
      <c r="K33" s="51" t="s">
        <v>137</v>
      </c>
      <c r="L33" s="51" t="s">
        <v>269</v>
      </c>
      <c r="N33" s="65"/>
      <c r="O33" s="65"/>
      <c r="P33" s="65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7">
        <v>33</v>
      </c>
      <c r="K34" s="51" t="s">
        <v>115</v>
      </c>
      <c r="L34" s="51" t="s">
        <v>269</v>
      </c>
      <c r="N34" s="65"/>
      <c r="O34" s="65"/>
      <c r="P34" s="65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7">
        <v>34</v>
      </c>
      <c r="K35" s="51" t="s">
        <v>291</v>
      </c>
      <c r="L35" s="51" t="s">
        <v>286</v>
      </c>
      <c r="N35" s="65"/>
      <c r="O35" s="65"/>
      <c r="P35" s="65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7">
        <v>35</v>
      </c>
      <c r="K36" s="51" t="s">
        <v>215</v>
      </c>
      <c r="L36" s="51" t="s">
        <v>272</v>
      </c>
      <c r="N36" s="65"/>
      <c r="O36" s="65"/>
      <c r="P36" s="65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7">
        <v>36</v>
      </c>
      <c r="K37" s="51" t="s">
        <v>255</v>
      </c>
      <c r="L37" s="51" t="s">
        <v>274</v>
      </c>
      <c r="N37" s="65"/>
      <c r="O37" s="65"/>
      <c r="P37" s="65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7">
        <v>37</v>
      </c>
      <c r="K38" s="51" t="s">
        <v>125</v>
      </c>
      <c r="L38" s="51" t="s">
        <v>269</v>
      </c>
      <c r="N38" s="65"/>
      <c r="O38" s="65"/>
      <c r="P38" s="65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8">
        <v>38</v>
      </c>
      <c r="K39" s="51" t="s">
        <v>130</v>
      </c>
      <c r="L39" s="51" t="s">
        <v>269</v>
      </c>
      <c r="N39" s="65"/>
      <c r="O39" s="65"/>
      <c r="P39" s="65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8">
        <v>39</v>
      </c>
      <c r="K40" s="51" t="s">
        <v>304</v>
      </c>
      <c r="L40" s="51" t="s">
        <v>269</v>
      </c>
      <c r="N40" s="65"/>
      <c r="O40" s="65"/>
      <c r="P40" s="65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8">
        <v>40</v>
      </c>
      <c r="K41" s="51" t="s">
        <v>203</v>
      </c>
      <c r="L41" s="51" t="s">
        <v>271</v>
      </c>
      <c r="N41" s="65"/>
      <c r="O41" s="65"/>
      <c r="P41" s="65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8">
        <v>41</v>
      </c>
      <c r="K42" s="51" t="s">
        <v>126</v>
      </c>
      <c r="L42" s="51" t="s">
        <v>269</v>
      </c>
      <c r="N42" s="65"/>
      <c r="O42" s="65"/>
      <c r="P42" s="65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8">
        <v>42</v>
      </c>
      <c r="K43" s="51" t="s">
        <v>200</v>
      </c>
      <c r="L43" s="51" t="s">
        <v>271</v>
      </c>
      <c r="N43" s="65"/>
      <c r="O43" s="65"/>
      <c r="P43" s="65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8">
        <v>43</v>
      </c>
      <c r="K44" s="51" t="s">
        <v>217</v>
      </c>
      <c r="L44" s="51" t="s">
        <v>272</v>
      </c>
      <c r="N44" s="65"/>
      <c r="O44" s="65"/>
      <c r="P44" s="65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8">
        <v>44</v>
      </c>
      <c r="K45" s="51" t="s">
        <v>114</v>
      </c>
      <c r="L45" s="51" t="s">
        <v>269</v>
      </c>
      <c r="N45" s="65"/>
      <c r="O45" s="65"/>
      <c r="P45" s="65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8">
        <v>45</v>
      </c>
      <c r="K46" s="51" t="s">
        <v>307</v>
      </c>
      <c r="L46" s="51" t="s">
        <v>269</v>
      </c>
      <c r="N46" s="65"/>
      <c r="O46" s="65"/>
      <c r="P46" s="65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8">
        <v>46</v>
      </c>
      <c r="K47" s="51" t="s">
        <v>248</v>
      </c>
      <c r="L47" s="51" t="s">
        <v>274</v>
      </c>
      <c r="N47" s="65"/>
      <c r="O47" s="65"/>
      <c r="P47" s="65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8">
        <v>47</v>
      </c>
      <c r="K48" s="51" t="s">
        <v>251</v>
      </c>
      <c r="L48" s="51" t="s">
        <v>274</v>
      </c>
      <c r="N48" s="65"/>
      <c r="O48" s="65"/>
      <c r="P48" s="65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8">
        <v>48</v>
      </c>
      <c r="K49" s="51" t="s">
        <v>262</v>
      </c>
      <c r="L49" s="51" t="s">
        <v>275</v>
      </c>
      <c r="N49" s="65"/>
      <c r="O49" s="65"/>
      <c r="P49" s="65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8">
        <v>49</v>
      </c>
      <c r="K50" s="51" t="s">
        <v>176</v>
      </c>
      <c r="L50" s="51" t="s">
        <v>163</v>
      </c>
      <c r="N50" s="65"/>
      <c r="O50" s="65"/>
      <c r="P50" s="65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8">
        <v>50</v>
      </c>
      <c r="K51" s="51" t="s">
        <v>311</v>
      </c>
      <c r="L51" s="51" t="s">
        <v>269</v>
      </c>
      <c r="N51" s="65"/>
      <c r="O51" s="65"/>
      <c r="P51" s="65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8">
        <v>51</v>
      </c>
      <c r="K52" s="51" t="s">
        <v>201</v>
      </c>
      <c r="L52" s="51" t="s">
        <v>271</v>
      </c>
      <c r="N52" s="65"/>
      <c r="O52" s="65"/>
      <c r="P52" s="65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8">
        <v>52</v>
      </c>
      <c r="K53" s="51" t="s">
        <v>306</v>
      </c>
      <c r="L53" s="51" t="s">
        <v>269</v>
      </c>
      <c r="N53" s="65"/>
      <c r="O53" s="65"/>
      <c r="P53" s="65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8">
        <v>53</v>
      </c>
      <c r="K54" s="51" t="s">
        <v>161</v>
      </c>
      <c r="L54" s="51" t="s">
        <v>270</v>
      </c>
      <c r="N54" s="65"/>
      <c r="O54" s="65"/>
      <c r="P54" s="65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8">
        <v>54</v>
      </c>
      <c r="K55" s="51" t="s">
        <v>211</v>
      </c>
      <c r="L55" s="51" t="s">
        <v>271</v>
      </c>
      <c r="N55" s="65"/>
      <c r="O55" s="65"/>
      <c r="P55" s="65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8">
        <v>55</v>
      </c>
      <c r="K56" s="51" t="s">
        <v>193</v>
      </c>
      <c r="L56" s="51" t="s">
        <v>113</v>
      </c>
      <c r="N56" s="65"/>
      <c r="O56" s="65"/>
      <c r="P56" s="65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8">
        <v>56</v>
      </c>
      <c r="K57" s="51" t="s">
        <v>296</v>
      </c>
      <c r="L57" s="51" t="s">
        <v>286</v>
      </c>
      <c r="N57" s="65"/>
      <c r="O57" s="65"/>
      <c r="P57" s="65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8">
        <v>57</v>
      </c>
      <c r="K58" s="51" t="s">
        <v>243</v>
      </c>
      <c r="L58" s="51" t="s">
        <v>273</v>
      </c>
      <c r="N58" s="65"/>
      <c r="O58" s="65"/>
      <c r="P58" s="65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8">
        <v>58</v>
      </c>
      <c r="K59" s="51" t="s">
        <v>180</v>
      </c>
      <c r="L59" s="51" t="s">
        <v>276</v>
      </c>
      <c r="N59" s="65"/>
      <c r="O59" s="65"/>
      <c r="P59" s="65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8">
        <v>59</v>
      </c>
      <c r="K60" s="51" t="s">
        <v>281</v>
      </c>
      <c r="L60" s="51" t="s">
        <v>276</v>
      </c>
      <c r="N60" s="65"/>
      <c r="O60" s="65"/>
      <c r="P60" s="65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8">
        <v>60</v>
      </c>
      <c r="K61" s="51" t="s">
        <v>259</v>
      </c>
      <c r="L61" s="51" t="s">
        <v>275</v>
      </c>
      <c r="N61" s="65"/>
      <c r="O61" s="65"/>
      <c r="P61" s="65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8">
        <v>61</v>
      </c>
      <c r="K62" s="51" t="s">
        <v>214</v>
      </c>
      <c r="L62" s="51" t="s">
        <v>272</v>
      </c>
      <c r="N62" s="65"/>
      <c r="O62" s="65"/>
      <c r="P62" s="65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8">
        <v>62</v>
      </c>
      <c r="K63" s="51" t="s">
        <v>266</v>
      </c>
      <c r="L63" s="51" t="s">
        <v>275</v>
      </c>
      <c r="N63" s="65"/>
      <c r="O63" s="65"/>
      <c r="P63" s="65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8">
        <v>63</v>
      </c>
      <c r="K64" s="51" t="s">
        <v>172</v>
      </c>
      <c r="L64" s="51" t="s">
        <v>163</v>
      </c>
      <c r="N64" s="65"/>
      <c r="O64" s="65"/>
      <c r="P64" s="65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9">
        <v>64</v>
      </c>
      <c r="K65" s="51" t="s">
        <v>313</v>
      </c>
      <c r="L65" s="51" t="s">
        <v>269</v>
      </c>
      <c r="N65" s="65"/>
      <c r="O65" s="65"/>
      <c r="P65" s="65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9">
        <v>65</v>
      </c>
      <c r="K66" s="51" t="s">
        <v>310</v>
      </c>
      <c r="L66" s="51" t="s">
        <v>269</v>
      </c>
      <c r="N66" s="65"/>
      <c r="O66" s="65"/>
      <c r="P66" s="65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9">
        <v>66</v>
      </c>
      <c r="K67" s="51" t="s">
        <v>131</v>
      </c>
      <c r="L67" s="51" t="s">
        <v>269</v>
      </c>
      <c r="N67" s="65"/>
      <c r="O67" s="65"/>
      <c r="P67" s="65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9">
        <v>67</v>
      </c>
      <c r="K68" s="51" t="s">
        <v>116</v>
      </c>
      <c r="L68" s="51" t="s">
        <v>269</v>
      </c>
      <c r="N68" s="65"/>
      <c r="O68" s="65"/>
      <c r="P68" s="65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9">
        <v>68</v>
      </c>
      <c r="K69" s="51" t="s">
        <v>190</v>
      </c>
      <c r="L69" s="51" t="s">
        <v>113</v>
      </c>
      <c r="N69" s="65"/>
      <c r="O69" s="65"/>
      <c r="P69" s="65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9">
        <v>69</v>
      </c>
      <c r="K70" s="51" t="s">
        <v>300</v>
      </c>
      <c r="L70" s="51" t="s">
        <v>271</v>
      </c>
      <c r="N70" s="65"/>
      <c r="O70" s="65"/>
      <c r="P70" s="65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9">
        <v>70</v>
      </c>
      <c r="K71" s="51" t="s">
        <v>312</v>
      </c>
      <c r="L71" s="51" t="s">
        <v>269</v>
      </c>
      <c r="N71" s="65"/>
      <c r="O71" s="65"/>
      <c r="P71" s="65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9">
        <v>71</v>
      </c>
      <c r="K72" s="51" t="s">
        <v>186</v>
      </c>
      <c r="L72" s="51" t="s">
        <v>113</v>
      </c>
      <c r="N72" s="65"/>
      <c r="O72" s="65"/>
      <c r="P72" s="65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9">
        <v>72</v>
      </c>
      <c r="K73" s="51" t="s">
        <v>142</v>
      </c>
      <c r="L73" s="51" t="s">
        <v>270</v>
      </c>
      <c r="N73" s="65"/>
      <c r="O73" s="65"/>
      <c r="P73" s="65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9">
        <v>73</v>
      </c>
      <c r="K74" s="51" t="s">
        <v>189</v>
      </c>
      <c r="L74" s="51" t="s">
        <v>113</v>
      </c>
      <c r="N74" s="65"/>
      <c r="O74" s="65"/>
      <c r="P74" s="65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5589926050</v>
      </c>
      <c r="G75" s="51" t="str">
        <f t="shared" si="1"/>
        <v>30 HONEY RD POUND ROAD NY 10576</v>
      </c>
      <c r="J75" s="69">
        <v>74</v>
      </c>
      <c r="K75" s="51" t="s">
        <v>182</v>
      </c>
      <c r="L75" s="51" t="s">
        <v>113</v>
      </c>
      <c r="N75" s="65"/>
      <c r="O75" s="65"/>
      <c r="P75" s="65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6331364637</v>
      </c>
      <c r="G76" s="51" t="str">
        <f t="shared" si="1"/>
        <v>200 BARBIT RD BEDFORD HILLS NY 10507</v>
      </c>
      <c r="J76" s="69">
        <v>75</v>
      </c>
      <c r="K76" s="51" t="s">
        <v>180</v>
      </c>
      <c r="L76" s="51" t="s">
        <v>113</v>
      </c>
      <c r="N76" s="65"/>
      <c r="O76" s="65"/>
      <c r="P76" s="65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8095717639</v>
      </c>
      <c r="G77" s="51" t="str">
        <f t="shared" si="1"/>
        <v>260 PINES LN CHAPQUA NY 10514</v>
      </c>
      <c r="J77" s="69">
        <v>76</v>
      </c>
      <c r="K77" s="51" t="s">
        <v>261</v>
      </c>
      <c r="L77" s="51" t="s">
        <v>275</v>
      </c>
      <c r="N77" s="65"/>
      <c r="O77" s="65"/>
      <c r="P77" s="65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8271530032</v>
      </c>
      <c r="G78" s="51" t="str">
        <f t="shared" si="1"/>
        <v>126 ROME AVE BEDFORD HILLS NY 10507</v>
      </c>
      <c r="J78" s="69">
        <v>77</v>
      </c>
      <c r="K78" s="51" t="s">
        <v>171</v>
      </c>
      <c r="L78" s="51" t="s">
        <v>163</v>
      </c>
      <c r="N78" s="65"/>
      <c r="O78" s="65"/>
      <c r="P78" s="65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5336162443</v>
      </c>
      <c r="G79" s="51" t="str">
        <f t="shared" si="1"/>
        <v>70 MILAN AVE BEDFORD HILLS NY 10549</v>
      </c>
      <c r="J79" s="69">
        <v>78</v>
      </c>
      <c r="K79" s="51" t="s">
        <v>228</v>
      </c>
      <c r="L79" s="51" t="s">
        <v>272</v>
      </c>
      <c r="N79" s="65"/>
      <c r="O79" s="65"/>
      <c r="P79" s="65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2090136052</v>
      </c>
      <c r="G80" s="51" t="str">
        <f t="shared" si="1"/>
        <v>40 DIPLOMAT DR MOUNTKISCO NY 10549</v>
      </c>
      <c r="J80" s="69">
        <v>79</v>
      </c>
      <c r="K80" s="51" t="s">
        <v>136</v>
      </c>
      <c r="L80" s="51" t="s">
        <v>269</v>
      </c>
      <c r="N80" s="65"/>
      <c r="O80" s="65"/>
      <c r="P80" s="65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2237918835</v>
      </c>
      <c r="G81" s="51" t="str">
        <f t="shared" si="1"/>
        <v>311 MAPPLE ST NEW YORK HILLS NY 10080</v>
      </c>
      <c r="J81" s="64">
        <v>80</v>
      </c>
      <c r="K81" s="51" t="s">
        <v>191</v>
      </c>
      <c r="L81" s="51" t="s">
        <v>113</v>
      </c>
      <c r="N81" s="65"/>
      <c r="O81" s="65"/>
      <c r="P81" s="65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2312265005</v>
      </c>
      <c r="G82" s="51" t="str">
        <f t="shared" si="1"/>
        <v>35 MAIN ST BREWSTER NY 10549</v>
      </c>
      <c r="J82" s="64">
        <v>81</v>
      </c>
      <c r="K82" s="51" t="s">
        <v>236</v>
      </c>
      <c r="L82" s="51" t="s">
        <v>273</v>
      </c>
      <c r="N82" s="65"/>
      <c r="O82" s="65"/>
      <c r="P82" s="65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3767532117</v>
      </c>
      <c r="G83" s="51" t="str">
        <f t="shared" si="1"/>
        <v>708 HURST BLVD HURST FX 70053</v>
      </c>
      <c r="J83" s="64">
        <v>82</v>
      </c>
      <c r="K83" s="51" t="s">
        <v>151</v>
      </c>
      <c r="L83" s="51" t="s">
        <v>270</v>
      </c>
      <c r="N83" s="65"/>
      <c r="O83" s="65"/>
      <c r="P83" s="65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8772330925</v>
      </c>
      <c r="G84" s="51" t="str">
        <f t="shared" si="1"/>
        <v>824 SUDNEY ST VALLEY AL 36824</v>
      </c>
      <c r="J84" s="64">
        <v>83</v>
      </c>
      <c r="K84" s="51" t="s">
        <v>123</v>
      </c>
      <c r="L84" s="51" t="s">
        <v>269</v>
      </c>
      <c r="N84" s="65"/>
      <c r="O84" s="65"/>
      <c r="P84" s="65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1776918911</v>
      </c>
      <c r="G85" s="51" t="str">
        <f t="shared" si="1"/>
        <v>2124 JOHNSTON DR. APT 10 BETHLEHEM PA 18020</v>
      </c>
      <c r="J85" s="64">
        <v>84</v>
      </c>
      <c r="K85" s="51" t="s">
        <v>121</v>
      </c>
      <c r="L85" s="51" t="s">
        <v>269</v>
      </c>
      <c r="N85" s="65"/>
      <c r="O85" s="65"/>
      <c r="P85" s="65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1449576536</v>
      </c>
      <c r="G86" s="51" t="str">
        <f t="shared" si="1"/>
        <v>13357 BURBANK BLV APT 6 VANNVYS CA 91401</v>
      </c>
      <c r="J86" s="64">
        <v>85</v>
      </c>
      <c r="K86" s="51" t="s">
        <v>282</v>
      </c>
      <c r="L86" s="51" t="s">
        <v>276</v>
      </c>
      <c r="N86" s="65"/>
      <c r="O86" s="65"/>
      <c r="P86" s="65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6697866411</v>
      </c>
      <c r="G87" s="51" t="str">
        <f t="shared" si="1"/>
        <v>177 LEXINGTON AVE MOUNTKISCO NY 10544</v>
      </c>
      <c r="J87" s="64">
        <v>86</v>
      </c>
      <c r="K87" s="51" t="s">
        <v>250</v>
      </c>
      <c r="L87" s="51" t="s">
        <v>274</v>
      </c>
      <c r="N87" s="65"/>
      <c r="O87" s="65"/>
      <c r="P87" s="65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7987782067</v>
      </c>
      <c r="G88" s="51" t="str">
        <f t="shared" si="1"/>
        <v>992 ROUTE 22 BREWSTER NY 10509</v>
      </c>
      <c r="J88" s="64">
        <v>87</v>
      </c>
      <c r="K88" s="51" t="s">
        <v>209</v>
      </c>
      <c r="L88" s="51" t="s">
        <v>271</v>
      </c>
      <c r="N88" s="65"/>
      <c r="O88" s="65"/>
      <c r="P88" s="65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9304539237</v>
      </c>
      <c r="G89" s="51" t="str">
        <f t="shared" si="1"/>
        <v>62 N HIGHLAND AVE OSSINING NY 10562</v>
      </c>
      <c r="J89" s="64">
        <v>88</v>
      </c>
      <c r="K89" s="51" t="s">
        <v>301</v>
      </c>
      <c r="L89" s="51" t="s">
        <v>269</v>
      </c>
      <c r="N89" s="65"/>
      <c r="O89" s="65"/>
      <c r="P89" s="65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2519368463</v>
      </c>
      <c r="G90" s="51" t="str">
        <f t="shared" si="1"/>
        <v>686 BRADWAY KINGSTON NY 12401</v>
      </c>
      <c r="J90" s="64">
        <v>89</v>
      </c>
      <c r="K90" s="51" t="s">
        <v>207</v>
      </c>
      <c r="L90" s="51" t="s">
        <v>271</v>
      </c>
      <c r="N90" s="65"/>
      <c r="O90" s="65"/>
      <c r="P90" s="65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6" t="s">
        <v>424</v>
      </c>
      <c r="F91" s="50">
        <f t="shared" ca="1" si="2"/>
        <v>8098591656</v>
      </c>
      <c r="G91" s="51" t="str">
        <f t="shared" si="1"/>
        <v>359 SOMERSET ST NORTH PLAINFIELD (NJ) NY 07060</v>
      </c>
      <c r="J91" s="64">
        <v>90</v>
      </c>
      <c r="K91" s="51" t="s">
        <v>144</v>
      </c>
      <c r="L91" s="51" t="s">
        <v>270</v>
      </c>
      <c r="N91" s="65"/>
      <c r="O91" s="65"/>
      <c r="P91" s="65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2603236228</v>
      </c>
      <c r="G92" s="51" t="str">
        <f t="shared" si="1"/>
        <v>28 S MAIN ST SPRING VALLEY NY 10977</v>
      </c>
      <c r="J92" s="64">
        <v>91</v>
      </c>
      <c r="K92" s="51" t="s">
        <v>254</v>
      </c>
      <c r="L92" s="51" t="s">
        <v>274</v>
      </c>
      <c r="N92" s="65"/>
      <c r="O92" s="65"/>
      <c r="P92" s="65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6779238843</v>
      </c>
      <c r="G93" s="51" t="str">
        <f t="shared" si="1"/>
        <v>282 N MAIN ST FREEPORT NY 11520</v>
      </c>
      <c r="J93" s="64">
        <v>92</v>
      </c>
      <c r="K93" s="51" t="s">
        <v>143</v>
      </c>
      <c r="L93" s="51" t="s">
        <v>270</v>
      </c>
      <c r="N93" s="65"/>
      <c r="O93" s="65"/>
      <c r="P93" s="65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4825669992</v>
      </c>
      <c r="G94" s="51" t="str">
        <f t="shared" si="1"/>
        <v>901 MAIN ST, 800 PEEKSKILL NY 10566</v>
      </c>
      <c r="J94" s="64">
        <v>93</v>
      </c>
      <c r="K94" s="51" t="s">
        <v>154</v>
      </c>
      <c r="L94" s="51" t="s">
        <v>270</v>
      </c>
      <c r="N94" s="65"/>
      <c r="O94" s="65"/>
      <c r="P94" s="65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6" t="s">
        <v>425</v>
      </c>
      <c r="F95" s="50">
        <f t="shared" ca="1" si="2"/>
        <v>3746283441</v>
      </c>
      <c r="G95" s="51" t="str">
        <f t="shared" si="1"/>
        <v>24 ELM ST DANBURY CT 06810</v>
      </c>
      <c r="J95" s="64">
        <v>94</v>
      </c>
      <c r="K95" s="51" t="s">
        <v>263</v>
      </c>
      <c r="L95" s="51" t="s">
        <v>275</v>
      </c>
      <c r="N95" s="65"/>
      <c r="O95" s="65"/>
      <c r="P95" s="65"/>
    </row>
    <row r="96" spans="1:16" x14ac:dyDescent="0.2">
      <c r="J96" s="70">
        <v>95</v>
      </c>
      <c r="K96" s="51" t="s">
        <v>145</v>
      </c>
      <c r="L96" s="51" t="s">
        <v>270</v>
      </c>
      <c r="N96" s="65"/>
      <c r="O96" s="65"/>
      <c r="P96" s="65"/>
    </row>
    <row r="97" spans="10:16" x14ac:dyDescent="0.2">
      <c r="J97" s="70">
        <v>96</v>
      </c>
      <c r="K97" s="51" t="s">
        <v>285</v>
      </c>
      <c r="L97" s="51" t="s">
        <v>276</v>
      </c>
      <c r="N97" s="65"/>
      <c r="O97" s="65"/>
      <c r="P97" s="65"/>
    </row>
    <row r="98" spans="10:16" x14ac:dyDescent="0.2">
      <c r="J98" s="70">
        <v>97</v>
      </c>
      <c r="K98" s="51" t="s">
        <v>279</v>
      </c>
      <c r="L98" s="51" t="s">
        <v>276</v>
      </c>
      <c r="N98" s="65"/>
      <c r="O98" s="65"/>
      <c r="P98" s="65"/>
    </row>
    <row r="99" spans="10:16" x14ac:dyDescent="0.2">
      <c r="J99" s="70">
        <v>98</v>
      </c>
      <c r="K99" s="51" t="s">
        <v>227</v>
      </c>
      <c r="L99" s="51" t="s">
        <v>272</v>
      </c>
      <c r="N99" s="65"/>
      <c r="O99" s="65"/>
      <c r="P99" s="65"/>
    </row>
    <row r="100" spans="10:16" x14ac:dyDescent="0.2">
      <c r="J100" s="70">
        <v>99</v>
      </c>
      <c r="K100" s="51" t="s">
        <v>303</v>
      </c>
      <c r="L100" s="51" t="s">
        <v>269</v>
      </c>
      <c r="N100" s="65"/>
      <c r="O100" s="65"/>
      <c r="P100" s="65"/>
    </row>
    <row r="101" spans="10:16" x14ac:dyDescent="0.2">
      <c r="J101" s="70">
        <v>100</v>
      </c>
      <c r="K101" s="51" t="s">
        <v>221</v>
      </c>
      <c r="L101" s="51" t="s">
        <v>272</v>
      </c>
      <c r="N101" s="65"/>
      <c r="O101" s="65"/>
      <c r="P101" s="65"/>
    </row>
    <row r="102" spans="10:16" x14ac:dyDescent="0.2">
      <c r="J102" s="70">
        <v>101</v>
      </c>
      <c r="K102" s="51" t="s">
        <v>292</v>
      </c>
      <c r="L102" s="51" t="s">
        <v>286</v>
      </c>
      <c r="N102" s="65"/>
      <c r="O102" s="65"/>
      <c r="P102" s="65"/>
    </row>
    <row r="103" spans="10:16" x14ac:dyDescent="0.2">
      <c r="J103" s="70">
        <v>102</v>
      </c>
      <c r="K103" s="51" t="s">
        <v>206</v>
      </c>
      <c r="L103" s="51" t="s">
        <v>271</v>
      </c>
      <c r="N103" s="65"/>
      <c r="O103" s="65"/>
      <c r="P103" s="65"/>
    </row>
    <row r="104" spans="10:16" x14ac:dyDescent="0.2">
      <c r="J104" s="70">
        <v>103</v>
      </c>
      <c r="K104" s="51" t="s">
        <v>288</v>
      </c>
      <c r="L104" s="51" t="s">
        <v>286</v>
      </c>
      <c r="N104" s="65"/>
      <c r="O104" s="65"/>
      <c r="P104" s="65"/>
    </row>
    <row r="105" spans="10:16" x14ac:dyDescent="0.2">
      <c r="J105" s="70">
        <v>104</v>
      </c>
      <c r="K105" s="51" t="s">
        <v>132</v>
      </c>
      <c r="L105" s="51" t="s">
        <v>269</v>
      </c>
      <c r="N105" s="65"/>
      <c r="O105" s="65"/>
      <c r="P105" s="65"/>
    </row>
    <row r="106" spans="10:16" x14ac:dyDescent="0.2">
      <c r="J106" s="70">
        <v>105</v>
      </c>
      <c r="K106" s="51" t="s">
        <v>222</v>
      </c>
      <c r="L106" s="51" t="s">
        <v>272</v>
      </c>
      <c r="N106" s="65"/>
      <c r="O106" s="65"/>
      <c r="P106" s="65"/>
    </row>
    <row r="107" spans="10:16" x14ac:dyDescent="0.2">
      <c r="J107" s="70">
        <v>106</v>
      </c>
      <c r="K107" s="51" t="s">
        <v>264</v>
      </c>
      <c r="L107" s="51" t="s">
        <v>275</v>
      </c>
      <c r="N107" s="65"/>
      <c r="O107" s="65"/>
      <c r="P107" s="65"/>
    </row>
    <row r="108" spans="10:16" x14ac:dyDescent="0.2">
      <c r="J108" s="70">
        <v>107</v>
      </c>
      <c r="K108" s="51" t="s">
        <v>212</v>
      </c>
      <c r="L108" s="51" t="s">
        <v>272</v>
      </c>
      <c r="N108" s="65"/>
      <c r="O108" s="65"/>
      <c r="P108" s="65"/>
    </row>
    <row r="109" spans="10:16" x14ac:dyDescent="0.2">
      <c r="J109" s="70">
        <v>108</v>
      </c>
      <c r="K109" s="51" t="s">
        <v>170</v>
      </c>
      <c r="L109" s="51" t="s">
        <v>163</v>
      </c>
      <c r="N109" s="65"/>
      <c r="O109" s="65"/>
      <c r="P109" s="65"/>
    </row>
    <row r="110" spans="10:16" x14ac:dyDescent="0.2">
      <c r="J110" s="70">
        <v>109</v>
      </c>
      <c r="K110" s="51" t="s">
        <v>249</v>
      </c>
      <c r="L110" s="51" t="s">
        <v>274</v>
      </c>
      <c r="N110" s="65"/>
      <c r="O110" s="65"/>
      <c r="P110" s="65"/>
    </row>
    <row r="111" spans="10:16" x14ac:dyDescent="0.2">
      <c r="J111" s="70">
        <v>110</v>
      </c>
      <c r="K111" s="51" t="s">
        <v>210</v>
      </c>
      <c r="L111" s="51" t="s">
        <v>271</v>
      </c>
      <c r="N111" s="65"/>
      <c r="O111" s="65"/>
      <c r="P111" s="65"/>
    </row>
    <row r="112" spans="10:16" x14ac:dyDescent="0.2">
      <c r="J112" s="70">
        <v>111</v>
      </c>
      <c r="K112" s="51" t="s">
        <v>133</v>
      </c>
      <c r="L112" s="51" t="s">
        <v>269</v>
      </c>
      <c r="N112" s="65"/>
      <c r="O112" s="65"/>
      <c r="P112" s="65"/>
    </row>
    <row r="113" spans="10:16" x14ac:dyDescent="0.2">
      <c r="J113" s="70">
        <v>112</v>
      </c>
      <c r="K113" s="51" t="s">
        <v>118</v>
      </c>
      <c r="L113" s="51" t="s">
        <v>269</v>
      </c>
      <c r="N113" s="65"/>
      <c r="O113" s="65"/>
      <c r="P113" s="65"/>
    </row>
    <row r="114" spans="10:16" x14ac:dyDescent="0.2">
      <c r="J114" s="70">
        <v>113</v>
      </c>
      <c r="K114" s="51" t="s">
        <v>220</v>
      </c>
      <c r="L114" s="51" t="s">
        <v>272</v>
      </c>
      <c r="N114" s="65"/>
      <c r="O114" s="65"/>
      <c r="P114" s="65"/>
    </row>
    <row r="115" spans="10:16" x14ac:dyDescent="0.2">
      <c r="J115" s="70">
        <v>114</v>
      </c>
      <c r="K115" s="51" t="s">
        <v>287</v>
      </c>
      <c r="L115" s="51" t="s">
        <v>286</v>
      </c>
      <c r="N115" s="65"/>
      <c r="O115" s="65"/>
      <c r="P115" s="65"/>
    </row>
    <row r="116" spans="10:16" x14ac:dyDescent="0.2">
      <c r="J116" s="70">
        <v>115</v>
      </c>
      <c r="K116" s="51" t="s">
        <v>223</v>
      </c>
      <c r="L116" s="51" t="s">
        <v>272</v>
      </c>
      <c r="N116" s="65"/>
      <c r="O116" s="65"/>
      <c r="P116" s="65"/>
    </row>
    <row r="117" spans="10:16" x14ac:dyDescent="0.2">
      <c r="J117" s="70">
        <v>116</v>
      </c>
      <c r="K117" s="51" t="s">
        <v>194</v>
      </c>
      <c r="L117" s="51" t="s">
        <v>271</v>
      </c>
      <c r="N117" s="65"/>
      <c r="O117" s="65"/>
      <c r="P117" s="65"/>
    </row>
    <row r="118" spans="10:16" x14ac:dyDescent="0.2">
      <c r="J118" s="70">
        <v>117</v>
      </c>
      <c r="K118" s="51" t="s">
        <v>202</v>
      </c>
      <c r="L118" s="51" t="s">
        <v>271</v>
      </c>
      <c r="N118" s="65"/>
      <c r="O118" s="65"/>
      <c r="P118" s="65"/>
    </row>
    <row r="119" spans="10:16" x14ac:dyDescent="0.2">
      <c r="J119" s="50">
        <v>118</v>
      </c>
      <c r="K119" s="51" t="s">
        <v>139</v>
      </c>
      <c r="L119" s="51" t="s">
        <v>270</v>
      </c>
      <c r="N119" s="65"/>
      <c r="O119" s="65"/>
      <c r="P119" s="65"/>
    </row>
    <row r="120" spans="10:16" x14ac:dyDescent="0.2">
      <c r="J120" s="50">
        <v>119</v>
      </c>
      <c r="K120" s="51" t="s">
        <v>164</v>
      </c>
      <c r="L120" s="51" t="s">
        <v>163</v>
      </c>
      <c r="N120" s="65"/>
      <c r="O120" s="65"/>
      <c r="P120" s="65"/>
    </row>
    <row r="121" spans="10:16" x14ac:dyDescent="0.2">
      <c r="J121" s="50">
        <v>120</v>
      </c>
      <c r="K121" s="51" t="s">
        <v>253</v>
      </c>
      <c r="L121" s="51" t="s">
        <v>274</v>
      </c>
      <c r="N121" s="65"/>
      <c r="O121" s="65"/>
      <c r="P121" s="65"/>
    </row>
    <row r="122" spans="10:16" x14ac:dyDescent="0.2">
      <c r="J122" s="50">
        <v>121</v>
      </c>
      <c r="K122" s="51" t="s">
        <v>218</v>
      </c>
      <c r="L122" s="51" t="s">
        <v>272</v>
      </c>
      <c r="N122" s="65"/>
      <c r="O122" s="65"/>
      <c r="P122" s="65"/>
    </row>
    <row r="123" spans="10:16" x14ac:dyDescent="0.2">
      <c r="J123" s="50">
        <v>122</v>
      </c>
      <c r="K123" s="51" t="s">
        <v>302</v>
      </c>
      <c r="L123" s="51" t="s">
        <v>269</v>
      </c>
      <c r="N123" s="65"/>
      <c r="O123" s="65"/>
      <c r="P123" s="65"/>
    </row>
    <row r="124" spans="10:16" x14ac:dyDescent="0.2">
      <c r="J124" s="50">
        <v>123</v>
      </c>
      <c r="K124" s="51" t="s">
        <v>146</v>
      </c>
      <c r="L124" s="51" t="s">
        <v>270</v>
      </c>
      <c r="N124" s="65"/>
      <c r="O124" s="65"/>
      <c r="P124" s="65"/>
    </row>
    <row r="125" spans="10:16" x14ac:dyDescent="0.2">
      <c r="J125" s="50">
        <v>124</v>
      </c>
      <c r="K125" s="51" t="s">
        <v>233</v>
      </c>
      <c r="L125" s="51" t="s">
        <v>273</v>
      </c>
      <c r="N125" s="65"/>
      <c r="O125" s="65"/>
      <c r="P125" s="65"/>
    </row>
    <row r="126" spans="10:16" x14ac:dyDescent="0.2">
      <c r="J126" s="50">
        <v>125</v>
      </c>
      <c r="K126" s="51" t="s">
        <v>244</v>
      </c>
      <c r="L126" s="51" t="s">
        <v>273</v>
      </c>
      <c r="N126" s="65"/>
      <c r="O126" s="65"/>
      <c r="P126" s="65"/>
    </row>
    <row r="127" spans="10:16" x14ac:dyDescent="0.2">
      <c r="J127" s="50">
        <v>126</v>
      </c>
      <c r="K127" s="51" t="s">
        <v>173</v>
      </c>
      <c r="L127" s="51" t="s">
        <v>163</v>
      </c>
      <c r="N127" s="65"/>
      <c r="O127" s="65"/>
      <c r="P127" s="65"/>
    </row>
    <row r="128" spans="10:16" x14ac:dyDescent="0.2">
      <c r="J128" s="50">
        <v>127</v>
      </c>
      <c r="K128" s="51" t="s">
        <v>158</v>
      </c>
      <c r="L128" s="51" t="s">
        <v>270</v>
      </c>
      <c r="N128" s="65"/>
      <c r="O128" s="65"/>
      <c r="P128" s="65"/>
    </row>
    <row r="129" spans="10:16" x14ac:dyDescent="0.2">
      <c r="J129" s="50">
        <v>128</v>
      </c>
      <c r="K129" s="51" t="s">
        <v>239</v>
      </c>
      <c r="L129" s="51" t="s">
        <v>273</v>
      </c>
      <c r="N129" s="65"/>
      <c r="O129" s="65"/>
      <c r="P129" s="65"/>
    </row>
    <row r="130" spans="10:16" x14ac:dyDescent="0.2">
      <c r="J130" s="50">
        <v>129</v>
      </c>
      <c r="K130" s="51" t="s">
        <v>230</v>
      </c>
      <c r="L130" s="51" t="s">
        <v>272</v>
      </c>
      <c r="N130" s="65"/>
      <c r="O130" s="65"/>
      <c r="P130" s="65"/>
    </row>
    <row r="131" spans="10:16" x14ac:dyDescent="0.2">
      <c r="J131" s="50">
        <v>130</v>
      </c>
      <c r="K131" s="51" t="s">
        <v>155</v>
      </c>
      <c r="L131" s="51" t="s">
        <v>270</v>
      </c>
      <c r="N131" s="65"/>
      <c r="O131" s="65"/>
      <c r="P131" s="65"/>
    </row>
    <row r="132" spans="10:16" x14ac:dyDescent="0.2">
      <c r="J132" s="50">
        <v>131</v>
      </c>
      <c r="K132" s="51" t="s">
        <v>309</v>
      </c>
      <c r="L132" s="51" t="s">
        <v>269</v>
      </c>
      <c r="N132" s="65"/>
      <c r="O132" s="65"/>
      <c r="P132" s="65"/>
    </row>
    <row r="133" spans="10:16" x14ac:dyDescent="0.2">
      <c r="J133" s="50">
        <v>132</v>
      </c>
      <c r="K133" s="51" t="s">
        <v>177</v>
      </c>
      <c r="L133" s="51" t="s">
        <v>163</v>
      </c>
      <c r="N133" s="65"/>
      <c r="O133" s="65"/>
      <c r="P133" s="65"/>
    </row>
    <row r="134" spans="10:16" x14ac:dyDescent="0.2">
      <c r="J134" s="50">
        <v>133</v>
      </c>
      <c r="K134" s="51" t="s">
        <v>298</v>
      </c>
      <c r="L134" s="51" t="s">
        <v>271</v>
      </c>
      <c r="N134" s="65"/>
      <c r="O134" s="65"/>
      <c r="P134" s="65"/>
    </row>
    <row r="135" spans="10:16" x14ac:dyDescent="0.2">
      <c r="J135" s="50">
        <v>134</v>
      </c>
      <c r="K135" s="51" t="s">
        <v>308</v>
      </c>
      <c r="L135" s="51" t="s">
        <v>269</v>
      </c>
      <c r="N135" s="65"/>
      <c r="O135" s="65"/>
      <c r="P135" s="65"/>
    </row>
    <row r="136" spans="10:16" x14ac:dyDescent="0.2">
      <c r="J136" s="50">
        <v>135</v>
      </c>
      <c r="K136" s="51" t="s">
        <v>165</v>
      </c>
      <c r="L136" s="51" t="s">
        <v>163</v>
      </c>
      <c r="N136" s="65"/>
      <c r="O136" s="65"/>
      <c r="P136" s="65"/>
    </row>
    <row r="137" spans="10:16" x14ac:dyDescent="0.2">
      <c r="J137" s="50">
        <v>136</v>
      </c>
      <c r="K137" s="51" t="s">
        <v>237</v>
      </c>
      <c r="L137" s="51" t="s">
        <v>273</v>
      </c>
      <c r="N137" s="65"/>
      <c r="O137" s="65"/>
      <c r="P137" s="65"/>
    </row>
    <row r="138" spans="10:16" x14ac:dyDescent="0.2">
      <c r="J138" s="71">
        <v>137</v>
      </c>
      <c r="K138" s="51" t="s">
        <v>199</v>
      </c>
      <c r="L138" s="51" t="s">
        <v>271</v>
      </c>
      <c r="N138" s="65"/>
      <c r="O138" s="65"/>
      <c r="P138" s="65"/>
    </row>
    <row r="139" spans="10:16" x14ac:dyDescent="0.2">
      <c r="J139" s="71">
        <v>138</v>
      </c>
      <c r="K139" s="51" t="s">
        <v>164</v>
      </c>
      <c r="L139" s="51" t="s">
        <v>163</v>
      </c>
      <c r="N139" s="65"/>
      <c r="O139" s="65"/>
      <c r="P139" s="65"/>
    </row>
    <row r="140" spans="10:16" x14ac:dyDescent="0.2">
      <c r="J140" s="71">
        <v>139</v>
      </c>
      <c r="K140" s="51" t="s">
        <v>258</v>
      </c>
      <c r="L140" s="51" t="s">
        <v>274</v>
      </c>
      <c r="N140" s="65"/>
      <c r="O140" s="65"/>
      <c r="P140" s="65"/>
    </row>
    <row r="141" spans="10:16" x14ac:dyDescent="0.2">
      <c r="J141" s="71">
        <v>140</v>
      </c>
      <c r="K141" s="51" t="s">
        <v>293</v>
      </c>
      <c r="L141" s="51" t="s">
        <v>286</v>
      </c>
      <c r="N141" s="65"/>
      <c r="O141" s="65"/>
      <c r="P141" s="65"/>
    </row>
    <row r="142" spans="10:16" x14ac:dyDescent="0.2">
      <c r="J142" s="71">
        <v>141</v>
      </c>
      <c r="K142" s="51" t="s">
        <v>305</v>
      </c>
      <c r="L142" s="51" t="s">
        <v>269</v>
      </c>
      <c r="N142" s="65"/>
      <c r="O142" s="65"/>
      <c r="P142" s="65"/>
    </row>
    <row r="143" spans="10:16" x14ac:dyDescent="0.2">
      <c r="J143" s="71">
        <v>142</v>
      </c>
      <c r="K143" s="51" t="s">
        <v>120</v>
      </c>
      <c r="L143" s="51" t="s">
        <v>269</v>
      </c>
      <c r="N143" s="65"/>
      <c r="O143" s="65"/>
      <c r="P143" s="65"/>
    </row>
    <row r="144" spans="10:16" x14ac:dyDescent="0.2">
      <c r="J144" s="71">
        <v>143</v>
      </c>
      <c r="K144" s="51" t="s">
        <v>295</v>
      </c>
      <c r="L144" s="51" t="s">
        <v>286</v>
      </c>
      <c r="N144" s="65"/>
      <c r="O144" s="65"/>
      <c r="P144" s="65"/>
    </row>
    <row r="145" spans="10:16" x14ac:dyDescent="0.2">
      <c r="J145" s="71">
        <v>144</v>
      </c>
      <c r="K145" s="51" t="s">
        <v>128</v>
      </c>
      <c r="L145" s="51" t="s">
        <v>269</v>
      </c>
      <c r="N145" s="65"/>
      <c r="O145" s="65"/>
      <c r="P145" s="65"/>
    </row>
    <row r="146" spans="10:16" x14ac:dyDescent="0.2">
      <c r="J146" s="71">
        <v>145</v>
      </c>
      <c r="K146" s="51" t="s">
        <v>159</v>
      </c>
      <c r="L146" s="51" t="s">
        <v>270</v>
      </c>
      <c r="N146" s="65"/>
      <c r="O146" s="65"/>
      <c r="P146" s="65"/>
    </row>
    <row r="147" spans="10:16" x14ac:dyDescent="0.2">
      <c r="J147" s="71">
        <v>146</v>
      </c>
      <c r="K147" s="51" t="s">
        <v>229</v>
      </c>
      <c r="L147" s="51" t="s">
        <v>272</v>
      </c>
      <c r="N147" s="65"/>
      <c r="O147" s="65"/>
      <c r="P147" s="65"/>
    </row>
    <row r="148" spans="10:16" x14ac:dyDescent="0.2">
      <c r="J148" s="71">
        <v>147</v>
      </c>
      <c r="K148" s="51" t="s">
        <v>265</v>
      </c>
      <c r="L148" s="51" t="s">
        <v>275</v>
      </c>
      <c r="N148" s="65"/>
      <c r="O148" s="65"/>
      <c r="P148" s="65"/>
    </row>
    <row r="149" spans="10:16" x14ac:dyDescent="0.2">
      <c r="J149" s="71">
        <v>148</v>
      </c>
      <c r="K149" s="51" t="s">
        <v>231</v>
      </c>
      <c r="L149" s="51" t="s">
        <v>273</v>
      </c>
      <c r="N149" s="65"/>
      <c r="O149" s="65"/>
      <c r="P149" s="65"/>
    </row>
    <row r="150" spans="10:16" x14ac:dyDescent="0.2">
      <c r="J150" s="71">
        <v>149</v>
      </c>
      <c r="K150" s="51" t="s">
        <v>178</v>
      </c>
      <c r="L150" s="51" t="s">
        <v>163</v>
      </c>
      <c r="N150" s="65"/>
      <c r="O150" s="65"/>
      <c r="P150" s="65"/>
    </row>
    <row r="151" spans="10:16" x14ac:dyDescent="0.2">
      <c r="J151" s="71">
        <v>150</v>
      </c>
      <c r="K151" s="51" t="s">
        <v>232</v>
      </c>
      <c r="L151" s="51" t="s">
        <v>273</v>
      </c>
      <c r="N151" s="65"/>
      <c r="O151" s="65"/>
      <c r="P151" s="65"/>
    </row>
    <row r="152" spans="10:16" x14ac:dyDescent="0.2">
      <c r="J152" s="71">
        <v>151</v>
      </c>
      <c r="K152" s="51" t="s">
        <v>196</v>
      </c>
      <c r="L152" s="51" t="s">
        <v>271</v>
      </c>
      <c r="N152" s="65"/>
      <c r="O152" s="65"/>
      <c r="P152" s="65"/>
    </row>
    <row r="153" spans="10:16" x14ac:dyDescent="0.2">
      <c r="J153" s="71">
        <v>152</v>
      </c>
      <c r="K153" s="51" t="s">
        <v>124</v>
      </c>
      <c r="L153" s="51" t="s">
        <v>269</v>
      </c>
      <c r="N153" s="65"/>
      <c r="O153" s="65"/>
      <c r="P153" s="65"/>
    </row>
    <row r="154" spans="10:16" x14ac:dyDescent="0.2">
      <c r="J154" s="71">
        <v>153</v>
      </c>
      <c r="K154" s="51" t="s">
        <v>283</v>
      </c>
      <c r="L154" s="51" t="s">
        <v>276</v>
      </c>
      <c r="N154" s="65"/>
      <c r="O154" s="65"/>
      <c r="P154" s="65"/>
    </row>
    <row r="155" spans="10:16" x14ac:dyDescent="0.2">
      <c r="J155" s="72">
        <v>154</v>
      </c>
      <c r="K155" s="51" t="s">
        <v>152</v>
      </c>
      <c r="L155" s="51" t="s">
        <v>270</v>
      </c>
      <c r="N155" s="65"/>
      <c r="O155" s="65"/>
      <c r="P155" s="65"/>
    </row>
    <row r="156" spans="10:16" x14ac:dyDescent="0.2">
      <c r="J156" s="72">
        <v>155</v>
      </c>
      <c r="K156" s="51" t="s">
        <v>174</v>
      </c>
      <c r="L156" s="51" t="s">
        <v>163</v>
      </c>
      <c r="N156" s="65"/>
      <c r="O156" s="65"/>
      <c r="P156" s="65"/>
    </row>
    <row r="157" spans="10:16" x14ac:dyDescent="0.2">
      <c r="J157" s="72">
        <v>156</v>
      </c>
      <c r="K157" s="51" t="s">
        <v>242</v>
      </c>
      <c r="L157" s="51" t="s">
        <v>273</v>
      </c>
      <c r="N157" s="65"/>
      <c r="O157" s="65"/>
      <c r="P157" s="65"/>
    </row>
    <row r="158" spans="10:16" x14ac:dyDescent="0.2">
      <c r="J158" s="72">
        <v>157</v>
      </c>
      <c r="K158" s="51" t="s">
        <v>147</v>
      </c>
      <c r="L158" s="51" t="s">
        <v>270</v>
      </c>
      <c r="N158" s="65"/>
      <c r="O158" s="65"/>
      <c r="P158" s="65"/>
    </row>
    <row r="159" spans="10:16" x14ac:dyDescent="0.2">
      <c r="J159" s="72">
        <v>158</v>
      </c>
      <c r="K159" s="51" t="s">
        <v>166</v>
      </c>
      <c r="L159" s="51" t="s">
        <v>163</v>
      </c>
      <c r="N159" s="65"/>
      <c r="O159" s="65"/>
      <c r="P159" s="65"/>
    </row>
    <row r="160" spans="10:16" x14ac:dyDescent="0.2">
      <c r="J160" s="72">
        <v>159</v>
      </c>
      <c r="K160" s="51" t="s">
        <v>219</v>
      </c>
      <c r="L160" s="51" t="s">
        <v>272</v>
      </c>
      <c r="N160" s="65"/>
      <c r="O160" s="65"/>
      <c r="P160" s="65"/>
    </row>
    <row r="161" spans="10:16" x14ac:dyDescent="0.2">
      <c r="J161" s="72">
        <v>160</v>
      </c>
      <c r="K161" s="51" t="s">
        <v>252</v>
      </c>
      <c r="L161" s="51" t="s">
        <v>274</v>
      </c>
      <c r="N161" s="65"/>
      <c r="O161" s="65"/>
      <c r="P161" s="65"/>
    </row>
    <row r="162" spans="10:16" x14ac:dyDescent="0.2">
      <c r="J162" s="72">
        <v>161</v>
      </c>
      <c r="K162" s="51" t="s">
        <v>129</v>
      </c>
      <c r="L162" s="51" t="s">
        <v>269</v>
      </c>
      <c r="N162" s="65"/>
      <c r="O162" s="65"/>
      <c r="P162" s="65"/>
    </row>
    <row r="163" spans="10:16" x14ac:dyDescent="0.2">
      <c r="J163" s="72">
        <v>162</v>
      </c>
      <c r="K163" s="51" t="s">
        <v>294</v>
      </c>
      <c r="L163" s="51" t="s">
        <v>286</v>
      </c>
      <c r="N163" s="65"/>
      <c r="O163" s="65"/>
      <c r="P163" s="65"/>
    </row>
    <row r="164" spans="10:16" x14ac:dyDescent="0.2">
      <c r="J164" s="72">
        <v>163</v>
      </c>
      <c r="K164" s="51" t="s">
        <v>245</v>
      </c>
      <c r="L164" s="51" t="s">
        <v>273</v>
      </c>
      <c r="N164" s="65"/>
      <c r="O164" s="65"/>
      <c r="P164" s="65"/>
    </row>
    <row r="165" spans="10:16" x14ac:dyDescent="0.2">
      <c r="J165" s="72">
        <v>164</v>
      </c>
      <c r="K165" s="51" t="s">
        <v>185</v>
      </c>
      <c r="L165" s="51" t="s">
        <v>113</v>
      </c>
      <c r="N165" s="65"/>
      <c r="O165" s="65"/>
      <c r="P165" s="65"/>
    </row>
    <row r="166" spans="10:16" x14ac:dyDescent="0.2">
      <c r="J166" s="69">
        <v>165</v>
      </c>
      <c r="K166" s="51" t="s">
        <v>167</v>
      </c>
      <c r="L166" s="51" t="s">
        <v>163</v>
      </c>
      <c r="N166" s="65"/>
      <c r="O166" s="65"/>
      <c r="P166" s="65"/>
    </row>
    <row r="167" spans="10:16" x14ac:dyDescent="0.2">
      <c r="J167" s="69">
        <v>166</v>
      </c>
      <c r="K167" s="51" t="s">
        <v>135</v>
      </c>
      <c r="L167" s="51" t="s">
        <v>269</v>
      </c>
      <c r="N167" s="65"/>
      <c r="O167" s="65"/>
      <c r="P167" s="65"/>
    </row>
    <row r="168" spans="10:16" x14ac:dyDescent="0.2">
      <c r="J168" s="69">
        <v>167</v>
      </c>
      <c r="K168" s="51" t="s">
        <v>195</v>
      </c>
      <c r="L168" s="51" t="s">
        <v>271</v>
      </c>
      <c r="N168" s="65"/>
      <c r="O168" s="65"/>
      <c r="P168" s="65"/>
    </row>
    <row r="169" spans="10:16" x14ac:dyDescent="0.2">
      <c r="J169" s="69">
        <v>168</v>
      </c>
      <c r="K169" s="51" t="s">
        <v>192</v>
      </c>
      <c r="L169" s="51" t="s">
        <v>113</v>
      </c>
      <c r="N169" s="65"/>
      <c r="O169" s="65"/>
      <c r="P169" s="65"/>
    </row>
    <row r="170" spans="10:16" x14ac:dyDescent="0.2">
      <c r="J170" s="69">
        <v>169</v>
      </c>
      <c r="K170" s="51" t="s">
        <v>280</v>
      </c>
      <c r="L170" s="51" t="s">
        <v>276</v>
      </c>
      <c r="N170" s="65"/>
      <c r="O170" s="65"/>
      <c r="P170" s="65"/>
    </row>
    <row r="171" spans="10:16" x14ac:dyDescent="0.2">
      <c r="J171" s="69">
        <v>170</v>
      </c>
      <c r="K171" s="51" t="s">
        <v>246</v>
      </c>
      <c r="L171" s="51" t="s">
        <v>273</v>
      </c>
      <c r="N171" s="65"/>
      <c r="O171" s="65"/>
      <c r="P171" s="65"/>
    </row>
    <row r="172" spans="10:16" x14ac:dyDescent="0.2">
      <c r="J172" s="69">
        <v>171</v>
      </c>
      <c r="K172" s="51" t="s">
        <v>160</v>
      </c>
      <c r="L172" s="51" t="s">
        <v>270</v>
      </c>
      <c r="N172" s="65"/>
      <c r="O172" s="65"/>
      <c r="P172" s="65"/>
    </row>
    <row r="173" spans="10:16" x14ac:dyDescent="0.2">
      <c r="J173" s="69">
        <v>172</v>
      </c>
      <c r="K173" s="51" t="s">
        <v>234</v>
      </c>
      <c r="L173" s="51" t="s">
        <v>273</v>
      </c>
      <c r="N173" s="65"/>
      <c r="O173" s="65"/>
      <c r="P173" s="65"/>
    </row>
    <row r="174" spans="10:16" x14ac:dyDescent="0.2">
      <c r="J174" s="69">
        <v>173</v>
      </c>
      <c r="K174" s="51" t="s">
        <v>315</v>
      </c>
      <c r="L174" s="51" t="s">
        <v>271</v>
      </c>
      <c r="N174" s="65"/>
      <c r="O174" s="65"/>
      <c r="P174" s="65"/>
    </row>
    <row r="175" spans="10:16" x14ac:dyDescent="0.2">
      <c r="J175" s="69">
        <v>174</v>
      </c>
      <c r="K175" s="51" t="s">
        <v>187</v>
      </c>
      <c r="L175" s="51" t="s">
        <v>113</v>
      </c>
      <c r="N175" s="65"/>
      <c r="O175" s="65"/>
      <c r="P175" s="65"/>
    </row>
    <row r="176" spans="10:16" x14ac:dyDescent="0.2">
      <c r="J176" s="73">
        <v>175</v>
      </c>
      <c r="K176" s="51" t="s">
        <v>267</v>
      </c>
      <c r="L176" s="51" t="s">
        <v>275</v>
      </c>
      <c r="N176" s="65"/>
      <c r="O176" s="65"/>
      <c r="P176" s="65"/>
    </row>
    <row r="177" spans="10:16" x14ac:dyDescent="0.2">
      <c r="J177" s="73">
        <v>176</v>
      </c>
      <c r="K177" s="51" t="s">
        <v>162</v>
      </c>
      <c r="L177" s="51" t="s">
        <v>270</v>
      </c>
      <c r="N177" s="65"/>
      <c r="O177" s="65"/>
      <c r="P177" s="65"/>
    </row>
    <row r="178" spans="10:16" x14ac:dyDescent="0.2">
      <c r="J178" s="73">
        <v>177</v>
      </c>
      <c r="K178" s="51" t="s">
        <v>175</v>
      </c>
      <c r="L178" s="51" t="s">
        <v>163</v>
      </c>
    </row>
    <row r="179" spans="10:16" x14ac:dyDescent="0.2">
      <c r="J179" s="73">
        <v>178</v>
      </c>
      <c r="K179" s="51" t="s">
        <v>179</v>
      </c>
      <c r="L179" s="51" t="s">
        <v>113</v>
      </c>
    </row>
    <row r="180" spans="10:16" x14ac:dyDescent="0.2">
      <c r="J180" s="73">
        <v>179</v>
      </c>
      <c r="K180" s="51" t="s">
        <v>181</v>
      </c>
      <c r="L180" s="51" t="s">
        <v>113</v>
      </c>
    </row>
    <row r="181" spans="10:16" x14ac:dyDescent="0.2">
      <c r="J181" s="73">
        <v>180</v>
      </c>
      <c r="K181" s="51" t="s">
        <v>241</v>
      </c>
      <c r="L181" s="51" t="s">
        <v>273</v>
      </c>
    </row>
    <row r="182" spans="10:16" x14ac:dyDescent="0.2">
      <c r="J182" s="73">
        <v>181</v>
      </c>
      <c r="K182" s="51" t="s">
        <v>297</v>
      </c>
      <c r="L182" s="51" t="s">
        <v>271</v>
      </c>
    </row>
    <row r="183" spans="10:16" x14ac:dyDescent="0.2">
      <c r="J183" s="73">
        <v>182</v>
      </c>
      <c r="K183" s="51" t="s">
        <v>188</v>
      </c>
      <c r="L183" s="51" t="s">
        <v>113</v>
      </c>
    </row>
    <row r="184" spans="10:16" x14ac:dyDescent="0.2">
      <c r="J184" s="73">
        <v>183</v>
      </c>
      <c r="K184" s="51" t="s">
        <v>149</v>
      </c>
      <c r="L184" s="51" t="s">
        <v>270</v>
      </c>
    </row>
    <row r="185" spans="10:16" x14ac:dyDescent="0.2">
      <c r="J185" s="73">
        <v>184</v>
      </c>
      <c r="K185" s="51" t="s">
        <v>247</v>
      </c>
      <c r="L185" s="51" t="s">
        <v>273</v>
      </c>
    </row>
    <row r="186" spans="10:16" x14ac:dyDescent="0.2">
      <c r="J186" s="74">
        <v>185</v>
      </c>
      <c r="K186" s="51" t="s">
        <v>238</v>
      </c>
      <c r="L186" s="51" t="s">
        <v>273</v>
      </c>
    </row>
    <row r="187" spans="10:16" x14ac:dyDescent="0.2">
      <c r="J187" s="74">
        <v>186</v>
      </c>
      <c r="K187" s="51" t="s">
        <v>278</v>
      </c>
      <c r="L187" s="51" t="s">
        <v>276</v>
      </c>
    </row>
    <row r="188" spans="10:16" x14ac:dyDescent="0.2">
      <c r="J188" s="74">
        <v>187</v>
      </c>
      <c r="K188" s="51" t="s">
        <v>289</v>
      </c>
      <c r="L188" s="51" t="s">
        <v>286</v>
      </c>
    </row>
    <row r="189" spans="10:16" x14ac:dyDescent="0.2">
      <c r="J189" s="74">
        <v>188</v>
      </c>
      <c r="K189" s="51" t="s">
        <v>290</v>
      </c>
      <c r="L189" s="51" t="s">
        <v>286</v>
      </c>
    </row>
    <row r="190" spans="10:16" x14ac:dyDescent="0.2">
      <c r="J190" s="74">
        <v>189</v>
      </c>
      <c r="K190" s="51" t="s">
        <v>134</v>
      </c>
      <c r="L190" s="51" t="s">
        <v>269</v>
      </c>
    </row>
    <row r="191" spans="10:16" x14ac:dyDescent="0.2">
      <c r="J191" s="74">
        <v>190</v>
      </c>
      <c r="K191" s="51" t="s">
        <v>240</v>
      </c>
      <c r="L191" s="51" t="s">
        <v>273</v>
      </c>
    </row>
    <row r="192" spans="10:16" x14ac:dyDescent="0.2">
      <c r="J192" s="74">
        <v>191</v>
      </c>
      <c r="K192" s="51" t="s">
        <v>117</v>
      </c>
      <c r="L192" s="51" t="s">
        <v>269</v>
      </c>
    </row>
    <row r="193" spans="10:12" x14ac:dyDescent="0.2">
      <c r="J193" s="74">
        <v>192</v>
      </c>
      <c r="K193" s="51" t="s">
        <v>213</v>
      </c>
      <c r="L193" s="51" t="s">
        <v>272</v>
      </c>
    </row>
    <row r="194" spans="10:12" x14ac:dyDescent="0.2">
      <c r="J194" s="74">
        <v>193</v>
      </c>
      <c r="K194" s="51" t="s">
        <v>314</v>
      </c>
      <c r="L194" s="51" t="s">
        <v>270</v>
      </c>
    </row>
    <row r="195" spans="10:12" x14ac:dyDescent="0.2">
      <c r="J195" s="74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2023-12-28T02:44:59Z</cp:lastPrinted>
  <dcterms:created xsi:type="dcterms:W3CDTF">2022-06-23T22:24:49Z</dcterms:created>
  <dcterms:modified xsi:type="dcterms:W3CDTF">2024-09-11T02:06:57Z</dcterms:modified>
</cp:coreProperties>
</file>