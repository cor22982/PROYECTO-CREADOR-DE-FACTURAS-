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AQUINO\Desktop\manifiest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6" i="2" l="1"/>
  <c r="G85" i="2" l="1"/>
  <c r="G84" i="2"/>
  <c r="G83" i="2"/>
  <c r="B2" i="1" l="1"/>
  <c r="G4" i="1" l="1"/>
  <c r="F4" i="1"/>
  <c r="D4" i="1"/>
  <c r="B4" i="1"/>
  <c r="G82" i="2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<sst xmlns="http://schemas.openxmlformats.org/spreadsheetml/2006/main" count="3089" uniqueCount="675">
  <si>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</si>
  <si>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</si>
  <si>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</si>
  <si>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</si>
  <si>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</si>
  <si>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</si>
  <si>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</si>
  <si>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</si>
  <si>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</si>
  <si>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</si>
  <si>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</si>
  <si>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</si>
  <si>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</si>
  <si>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</si>
  <si>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</si>
  <si>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</si>
  <si>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</si>
  <si>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</si>
  <si>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</si>
  <si>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</si>
  <si>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</si>
  <si>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</si>
  <si>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</si>
  <si>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</si>
  <si>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</si>
  <si>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</si>
  <si>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</si>
  <si>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</si>
  <si>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</si>
  <si>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</si>
  <si>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</si>
  <si>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</si>
  <si>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</si>
  <si>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</si>
  <si>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</si>
  <si>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</si>
  <si>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</si>
  <si>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</si>
  <si>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</si>
  <si>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</si>
  <si>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</si>
  <si>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</si>
  <si>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</si>
  <si>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</si>
  <si>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</si>
  <si>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</si>
  <si>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</si>
  <si>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</si>
  <si>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</si>
  <si>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</si>
  <si>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</si>
  <si>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</si>
  <si>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</si>
  <si>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</si>
  <si>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</si>
  <si>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</si>
  <si>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</si>
  <si>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</si>
  <si>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</si>
  <si>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</si>
  <si>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</si>
  <si>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</si>
  <si>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</si>
  <si>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</si>
  <si>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</si>
  <si>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</si>
  <si>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</si>
  <si>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</si>
  <si>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</si>
  <si>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</si>
  <si>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</si>
  <si>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</si>
  <si>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</si>
  <si>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</si>
  <si>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</si>
  <si>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</si>
  <si>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</si>
  <si>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</si>
  <si>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</si>
  <si>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</si>
  <si>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</si>
  <si>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</si>
  <si>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</si>
  <si>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</si>
  <si>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</si>
  <si>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</si>
  <si>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</si>
  <si>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</si>
  <si>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</si>
  <si>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</si>
  <si>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</si>
  <si>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</si>
  <si>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</si>
  <si>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</si>
  <si>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</si>
  <si>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</si>
  <si>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</si>
  <si>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</si>
  <si>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</si>
  <si>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</si>
  <si>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</si>
  <si>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</si>
  <si>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</si>
  <si>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</si>
  <si>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</si>
  <si>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</si>
  <si>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</si>
  <si>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</si>
  <si>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</si>
  <si>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</si>
  <si>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</si>
  <si>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</si>
  <si>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</si>
  <si>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</si>
  <si>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</si>
  <si>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</si>
  <si>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</si>
  <si>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</si>
  <si>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</si>
  <si>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</si>
  <si>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</si>
  <si>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</si>
  <si>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</si>
  <si>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</si>
  <si>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</si>
  <si>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</si>
  <si>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</si>
  <si>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</si>
  <si>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</si>
  <si>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</si>
  <si>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</si>
  <si>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</si>
  <si>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</si>
  <si>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</si>
  <si>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</si>
  <si>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</si>
  <si>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</si>
  <si>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</si>
  <si>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</si>
  <si>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</si>
  <si>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</si>
  <si>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</si>
  <si>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</si>
  <si>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</si>
  <si>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</si>
  <si>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</si>
  <si>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</si>
  <si>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</si>
  <si>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</si>
  <si>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</si>
  <si>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</si>
  <si>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</si>
  <si>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</si>
  <si>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</si>
  <si>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</si>
  <si>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</si>
  <si>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</si>
  <si>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</si>
  <si>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</si>
  <si>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</si>
  <si>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</si>
  <si>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</si>
  <si>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</si>
  <si>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</si>
  <si>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</si>
  <si>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</si>
  <si>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</si>
  <si>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</si>
  <si>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</si>
  <si>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</si>
  <si>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</si>
  <si>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</si>
  <si>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</si>
  <si>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</si>
  <si>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</si>
  <si>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</si>
  <si>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</si>
  <si>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</si>
  <si>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</si>
  <si>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</si>
  <si>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</si>
  <si>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</si>
  <si>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</si>
  <si>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</si>
  <si>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</si>
  <si>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</si>
  <si>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</si>
  <si>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</si>
  <si>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</si>
  <si>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</si>
  <si>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</si>
  <si>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</si>
  <si>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</si>
  <si>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</si>
  <si>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</si>
  <si>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</si>
  <si>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</si>
  <si>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</si>
  <si>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</si>
  <si>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</si>
  <si>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</si>
  <si>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</si>
  <si>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</si>
  <si>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</si>
  <si>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</si>
  <si>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</si>
  <si>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</si>
  <si>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</si>
  <si>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</si>
  <si>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</si>
  <si>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</si>
  <si>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</si>
  <si>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</si>
  <si>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</si>
  <si>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</si>
  <si>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</si>
  <si>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</si>
  <si>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</si>
  <si>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</si>
  <si>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</si>
  <si>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</si>
  <si>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</si>
  <si>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</si>
  <si>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</si>
  <si>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</si>
  <si>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</si>
  <si>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</si>
  <si>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</si>
  <si>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</si>
  <si>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</si>
  <si>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</si>
  <si>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</si>
  <si>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</si>
  <si>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</si>
  <si>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</si>
  <si>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</si>
  <si>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</si>
  <si>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</si>
  <si>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</si>
  <si>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</si>
  <si>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</si>
  <si>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</si>
  <si>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</si>
  <si>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</si>
  <si>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</si>
  <si>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</si>
  <si>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</si>
  <si>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</si>
  <si>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</si>
  <si>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</si>
  <si>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</si>
  <si>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</si>
  <si>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</si>
  <si>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</si>
  <si>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</si>
  <si>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</si>
  <si>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</si>
  <si>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</si>
  <si>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</si>
  <si>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</si>
  <si>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</si>
  <si>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</si>
  <si>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</si>
  <si>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</si>
  <si>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</si>
  <si>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</si>
  <si>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</si>
  <si>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</si>
  <si>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</si>
  <si>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</si>
  <si>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</si>
  <si>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</si>
  <si>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</si>
  <si>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</si>
  <si>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</si>
  <si>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</si>
  <si>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</si>
  <si>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</si>
  <si>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</si>
  <si>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</si>
  <si>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</si>
  <si>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</si>
  <si>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</si>
  <si>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</si>
  <si>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</si>
  <si>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</si>
  <si>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</si>
  <si>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</si>
  <si>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</si>
  <si>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</si>
  <si>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</si>
  <si>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</si>
  <si>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</si>
  <si>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</si>
  <si>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</si>
  <si>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</si>
  <si>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</si>
  <si>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</si>
  <si>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</si>
  <si>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</si>
  <si>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</si>
  <si>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</si>
  <si>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</si>
  <si>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</si>
  <si>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</si>
  <si>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</si>
  <si>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</si>
  <si>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</si>
  <si>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</si>
  <si>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</si>
  <si>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</si>
  <si>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</si>
  <si>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</si>
  <si>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</si>
  <si>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</si>
  <si>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</si>
  <si>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</si>
  <si>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</si>
  <si>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>Debe ser siempre 2 al inicio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</si>
  <si>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</si>
  <si>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</si>
  <si>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</si>
  <si>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</si>
  <si>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</si>
  <si>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</si>
  <si>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</si>
  <si>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</si>
  <si>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</si>
  <si>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</si>
  <si>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</si>
  <si>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</si>
  <si>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</si>
  <si>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</si>
  <si>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</si>
  <si>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</si>
  <si>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</si>
  <si>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</si>
  <si>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</si>
  <si>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</si>
  <si>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</si>
  <si>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</si>
  <si>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</si>
  <si>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</si>
  <si>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</si>
  <si>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</si>
  <si>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</si>
  <si>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</si>
  <si>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</si>
  <si>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</si>
  <si>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</si>
  <si>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</si>
  <si>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</si>
  <si>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</si>
  <si>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</si>
  <si>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</si>
  <si>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</si>
  <si>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</si>
  <si>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</si>
  <si>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</si>
  <si>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</si>
  <si>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</si>
  <si>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</si>
  <si>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</si>
  <si>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</si>
  <si>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</si>
  <si>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</si>
  <si>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</si>
  <si>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</si>
  <si>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</si>
  <si>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</si>
  <si>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</si>
  <si>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</si>
  <si>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</si>
  <si>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</si>
  <si>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</si>
  <si>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</si>
  <si>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</si>
  <si>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</si>
  <si>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</si>
  <si>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</si>
  <si>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</si>
  <si>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</si>
  <si>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</si>
  <si>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</si>
  <si>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</si>
  <si>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</si>
  <si>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</si>
  <si>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</si>
  <si>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</si>
  <si>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</si>
  <si>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</si>
  <si>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</si>
  <si>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</si>
  <si>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</si>
  <si>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</si>
  <si>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</si>
  <si>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</si>
  <si>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</si>
  <si>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</si>
  <si>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</si>
  <si>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</si>
  <si>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</si>
  <si>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</si>
  <si>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</si>
  <si>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</si>
  <si>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</si>
  <si>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17705 S WESTER AVE</t>
  </si>
  <si>
    <t>CA</t>
  </si>
  <si>
    <t>SPC GARDENA</t>
  </si>
  <si>
    <t>381 W BARBOURS ST C 124</t>
  </si>
  <si>
    <t>BANNIG</t>
  </si>
  <si>
    <t>151 POWELL IN UPPER DARBY</t>
  </si>
  <si>
    <t xml:space="preserve">268 29TH </t>
  </si>
  <si>
    <t>LONGVIEW</t>
  </si>
  <si>
    <t>WA</t>
  </si>
  <si>
    <t xml:space="preserve">411 S SUNLAND DR </t>
  </si>
  <si>
    <t>SANFORD</t>
  </si>
  <si>
    <t>FI</t>
  </si>
  <si>
    <t>SECO</t>
  </si>
  <si>
    <t>202 - 30167734</t>
  </si>
  <si>
    <t>020M</t>
  </si>
  <si>
    <t xml:space="preserve">AURA AQUINO 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</si>
  <si>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</si>
  <si>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</si>
  <si>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</si>
  <si>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</si>
  <si>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</si>
  <si>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</si>
  <si>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</si>
  <si>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</si>
  <si>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</si>
  <si>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</si>
  <si>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</si>
  <si>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</si>
  <si>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</si>
  <si>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</si>
  <si>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 </t>
  </si>
  <si>
    <t>136M</t>
  </si>
  <si>
    <t xml:space="preserve">LISETH RAMOS </t>
  </si>
  <si>
    <t xml:space="preserve">ARNOLDO PEREZ </t>
  </si>
  <si>
    <t xml:space="preserve">CHEESE,COOKED VEGETABLES </t>
  </si>
  <si>
    <t>106M</t>
  </si>
  <si>
    <t xml:space="preserve">JULIA MONROY </t>
  </si>
  <si>
    <t xml:space="preserve">VIRGINIA MONROY </t>
  </si>
  <si>
    <t xml:space="preserve">CHEESE,TAMALITOS,COOKED VEGETABLES </t>
  </si>
  <si>
    <t>156M</t>
  </si>
  <si>
    <t xml:space="preserve">LETICIA RAMOS </t>
  </si>
  <si>
    <t xml:space="preserve">JOSE MALDONADO </t>
  </si>
  <si>
    <t xml:space="preserve">CHEESE,PRESERVE,COOKED VEGETABLES </t>
  </si>
  <si>
    <t>117M</t>
  </si>
  <si>
    <t>INGRID MOSCOSO</t>
  </si>
  <si>
    <t xml:space="preserve">BILSIA MOSCOSO </t>
  </si>
  <si>
    <t xml:space="preserve">COOKED VEGETABLES </t>
  </si>
  <si>
    <t>514M</t>
  </si>
  <si>
    <t xml:space="preserve">MIRNA LEMUS </t>
  </si>
  <si>
    <t xml:space="preserve">HECTOR LEMUS </t>
  </si>
  <si>
    <t>512M</t>
  </si>
  <si>
    <t xml:space="preserve">GUILLERMINA FLORES </t>
  </si>
  <si>
    <t xml:space="preserve">MELVA REYES </t>
  </si>
  <si>
    <t>709M</t>
  </si>
  <si>
    <t xml:space="preserve">GLORIA CORONADO </t>
  </si>
  <si>
    <t xml:space="preserve">WILIAM MARTINEZ </t>
  </si>
  <si>
    <t>706M</t>
  </si>
  <si>
    <t xml:space="preserve">ROEL JAVIER </t>
  </si>
  <si>
    <t>317M</t>
  </si>
  <si>
    <t xml:space="preserve">RAQUEL LEVIA </t>
  </si>
  <si>
    <t xml:space="preserve">ANTONIO ROBLES </t>
  </si>
  <si>
    <t xml:space="preserve">CHEESE,HONEY,BREAD,COOKED VEGETABLES </t>
  </si>
  <si>
    <t>004M2</t>
  </si>
  <si>
    <t xml:space="preserve">JOLIE INES DUBAN </t>
  </si>
  <si>
    <t xml:space="preserve">WENDY LUCIA DUBAN </t>
  </si>
  <si>
    <t>021M</t>
  </si>
  <si>
    <t xml:space="preserve">ADRIANA HERNANDEZ </t>
  </si>
  <si>
    <t xml:space="preserve">MARCELA MARTINEZ </t>
  </si>
  <si>
    <t>908M</t>
  </si>
  <si>
    <t xml:space="preserve">CECIA CORDOVA </t>
  </si>
  <si>
    <t xml:space="preserve">MELINTON MONTUFAR </t>
  </si>
  <si>
    <t>705K</t>
  </si>
  <si>
    <t xml:space="preserve">BLANCA MARTINEZ </t>
  </si>
  <si>
    <t xml:space="preserve">GERDY MARTINEZ </t>
  </si>
  <si>
    <t>706K</t>
  </si>
  <si>
    <t xml:space="preserve">MARIBEL JUAREZ </t>
  </si>
  <si>
    <t xml:space="preserve">JUAN ANTONIO CRUZ </t>
  </si>
  <si>
    <t>203K</t>
  </si>
  <si>
    <t xml:space="preserve">DORIS GUERRA </t>
  </si>
  <si>
    <t xml:space="preserve">DALILA SALAZAR </t>
  </si>
  <si>
    <t>921B</t>
  </si>
  <si>
    <t xml:space="preserve">IRIS RAMIREZ </t>
  </si>
  <si>
    <t xml:space="preserve">MANUEL JUAREZ </t>
  </si>
  <si>
    <t xml:space="preserve">CHEESE,HONEY,TAMALITOS,COOKED VEGETABLES </t>
  </si>
  <si>
    <t>1000A</t>
  </si>
  <si>
    <t xml:space="preserve">KEVIN LEMUS </t>
  </si>
  <si>
    <t>103M</t>
  </si>
  <si>
    <t xml:space="preserve">VINICIO PEREZ </t>
  </si>
  <si>
    <t xml:space="preserve">ROSITA HERNANDEZ </t>
  </si>
  <si>
    <t xml:space="preserve">CLOTHES </t>
  </si>
  <si>
    <t>204M</t>
  </si>
  <si>
    <t xml:space="preserve">AXEL RAMOS </t>
  </si>
  <si>
    <t xml:space="preserve">YESSENIA ALVARADO </t>
  </si>
  <si>
    <t>206M</t>
  </si>
  <si>
    <t xml:space="preserve">ASTRID CERON </t>
  </si>
  <si>
    <t>201M</t>
  </si>
  <si>
    <t xml:space="preserve">ELVIA FLORES </t>
  </si>
  <si>
    <t xml:space="preserve">KIRIA CARDONA </t>
  </si>
  <si>
    <t xml:space="preserve">CLOTHES,SHOES,TOYS,CONDIMENTS,PRESERVE,HONEY,BREAD </t>
  </si>
  <si>
    <t>324M</t>
  </si>
  <si>
    <t xml:space="preserve">RAUL RODAS </t>
  </si>
  <si>
    <t xml:space="preserve">MARIA JACOME </t>
  </si>
  <si>
    <t>BREAD,CHIPS,CANDYS,CHEESE,PRESERVE,COFFE</t>
  </si>
  <si>
    <t>327M2</t>
  </si>
  <si>
    <t xml:space="preserve">OLFA MATA </t>
  </si>
  <si>
    <t xml:space="preserve">JAIRO GREGORIO </t>
  </si>
  <si>
    <t xml:space="preserve">CLOTHES,COFFE,CHIPS </t>
  </si>
  <si>
    <t>903M</t>
  </si>
  <si>
    <t xml:space="preserve">JUANA MARTINEZ </t>
  </si>
  <si>
    <t xml:space="preserve">LORENA JAVIER </t>
  </si>
  <si>
    <t xml:space="preserve">CLOTHES,CHIPS,TOPPER,CARTERAS,ADORNOS,NATURAL MEDICINE </t>
  </si>
  <si>
    <t>802M</t>
  </si>
  <si>
    <t xml:space="preserve">GENARO ZACAL </t>
  </si>
  <si>
    <t xml:space="preserve">ENLO MARROQUIN </t>
  </si>
  <si>
    <t xml:space="preserve">BREAD,COFFE,CONDIMENTS,NATURAL MEDICINE </t>
  </si>
  <si>
    <t>457M</t>
  </si>
  <si>
    <t xml:space="preserve">CARMEN CERON </t>
  </si>
  <si>
    <t xml:space="preserve">JOBANI JACOME </t>
  </si>
  <si>
    <t xml:space="preserve">BREAD,NUTS,COFFE,CONDIMENTS </t>
  </si>
  <si>
    <t>405M</t>
  </si>
  <si>
    <t xml:space="preserve">MAGALI DIAZ </t>
  </si>
  <si>
    <t xml:space="preserve">EZEQUIEL MONROY </t>
  </si>
  <si>
    <t xml:space="preserve">BREAD,CLOTHES,PEANUTS,PRESERVE </t>
  </si>
  <si>
    <t>417M</t>
  </si>
  <si>
    <t xml:space="preserve">FLORINDA MENDOZA </t>
  </si>
  <si>
    <t xml:space="preserve">SELVIA GUERRA </t>
  </si>
  <si>
    <t xml:space="preserve">BREAD,CLOTHES,HONEY,COOKED VEGETABLES </t>
  </si>
  <si>
    <t>443M</t>
  </si>
  <si>
    <t xml:space="preserve">PAOLA LOPEZ </t>
  </si>
  <si>
    <t xml:space="preserve">CRISTIAN VICENTE </t>
  </si>
  <si>
    <t xml:space="preserve">CLOTHES,SHOES,COSMETICS </t>
  </si>
  <si>
    <t>022M</t>
  </si>
  <si>
    <t xml:space="preserve">LILY AQUINO </t>
  </si>
  <si>
    <t xml:space="preserve">KANNY VALDEZ </t>
  </si>
  <si>
    <t>VITAMIN SUPPLEMENTS</t>
  </si>
  <si>
    <t>023M</t>
  </si>
  <si>
    <t xml:space="preserve">MISHEL VALDEZ </t>
  </si>
  <si>
    <t xml:space="preserve">GABRIEL VASQUEZ </t>
  </si>
  <si>
    <t xml:space="preserve">SHOES </t>
  </si>
  <si>
    <t>024M</t>
  </si>
  <si>
    <t xml:space="preserve">MARISOL GUERRA </t>
  </si>
  <si>
    <t xml:space="preserve">PABLO GUERRA </t>
  </si>
  <si>
    <t xml:space="preserve">VITAMIN SUPPLEMENTS </t>
  </si>
  <si>
    <t>145M</t>
  </si>
  <si>
    <t xml:space="preserve">ANGELICA LOPEZ </t>
  </si>
  <si>
    <t xml:space="preserve">DANI JAVIER CHEGUEN </t>
  </si>
  <si>
    <t>025M</t>
  </si>
  <si>
    <t xml:space="preserve">ALEJANDRO MENDEZ </t>
  </si>
  <si>
    <t xml:space="preserve">BERNANDO CARRERA </t>
  </si>
  <si>
    <t>026M</t>
  </si>
  <si>
    <t xml:space="preserve">EDGAR MORALES </t>
  </si>
  <si>
    <t xml:space="preserve">OSMAN LOPEZ </t>
  </si>
  <si>
    <t>027M</t>
  </si>
  <si>
    <t xml:space="preserve">RAFAEL SOTO </t>
  </si>
  <si>
    <t xml:space="preserve">ANIBAL VASQUEZ </t>
  </si>
  <si>
    <t>028M</t>
  </si>
  <si>
    <t xml:space="preserve">MARGARITA SALAZAR </t>
  </si>
  <si>
    <t xml:space="preserve">SOCORRO CHACON </t>
  </si>
  <si>
    <t>029M</t>
  </si>
  <si>
    <t xml:space="preserve">ABEL PEREZ </t>
  </si>
  <si>
    <t xml:space="preserve">AMERICA ALVAREZ </t>
  </si>
  <si>
    <t>030M</t>
  </si>
  <si>
    <t xml:space="preserve">AGUSTIN ALDANA </t>
  </si>
  <si>
    <t xml:space="preserve">VICENTE VASQUEZ </t>
  </si>
  <si>
    <t>031M</t>
  </si>
  <si>
    <t xml:space="preserve">LISSETH RAMIREZ </t>
  </si>
  <si>
    <t xml:space="preserve">DAYANA HERNANDEZ </t>
  </si>
  <si>
    <t xml:space="preserve">BREAD </t>
  </si>
  <si>
    <t>032M</t>
  </si>
  <si>
    <t xml:space="preserve">ANGIE RUIZ </t>
  </si>
  <si>
    <t xml:space="preserve">ALEJANDRO REYES </t>
  </si>
  <si>
    <t>033M</t>
  </si>
  <si>
    <t xml:space="preserve">ALBA RODRIGUEZ </t>
  </si>
  <si>
    <t xml:space="preserve">ALBERTO RODRIGUEZ </t>
  </si>
  <si>
    <t>034M</t>
  </si>
  <si>
    <t>ENRIQUE CORTES</t>
  </si>
  <si>
    <t xml:space="preserve">KARLA POITAN </t>
  </si>
  <si>
    <t>035M</t>
  </si>
  <si>
    <t xml:space="preserve">CATALINA CRUZ </t>
  </si>
  <si>
    <t xml:space="preserve">CARLOS CASTRO </t>
  </si>
  <si>
    <t>036M</t>
  </si>
  <si>
    <t xml:space="preserve">FELIPE VILLEDA </t>
  </si>
  <si>
    <t>LINA GOMEZ</t>
  </si>
  <si>
    <t>037M</t>
  </si>
  <si>
    <t xml:space="preserve">IVONNE DIAZ </t>
  </si>
  <si>
    <t xml:space="preserve">PATRICIA MONROY </t>
  </si>
  <si>
    <t xml:space="preserve">BREAD,CHIPS </t>
  </si>
  <si>
    <t>038M</t>
  </si>
  <si>
    <t xml:space="preserve">TANIA DIAZ </t>
  </si>
  <si>
    <t xml:space="preserve">JUAN GOMEZ </t>
  </si>
  <si>
    <t>039M</t>
  </si>
  <si>
    <t xml:space="preserve">NATALIA LOPEZ </t>
  </si>
  <si>
    <t xml:space="preserve">FERNANDO GUZMAN </t>
  </si>
  <si>
    <t xml:space="preserve">PEANUTS </t>
  </si>
  <si>
    <t>040M</t>
  </si>
  <si>
    <t xml:space="preserve">IVAN POLANCO </t>
  </si>
  <si>
    <t xml:space="preserve">MARGOTH DIAZ </t>
  </si>
  <si>
    <t>PRESERVE</t>
  </si>
  <si>
    <t>98K</t>
  </si>
  <si>
    <t xml:space="preserve">ESTEBAN SANTOS </t>
  </si>
  <si>
    <t xml:space="preserve">OSVALDO JUAREZ </t>
  </si>
  <si>
    <t>99K</t>
  </si>
  <si>
    <t xml:space="preserve">DIANA LOPEZ </t>
  </si>
  <si>
    <t xml:space="preserve">MARIO MENDEZ </t>
  </si>
  <si>
    <t>304K</t>
  </si>
  <si>
    <t xml:space="preserve">ELDA SINTUJ </t>
  </si>
  <si>
    <t xml:space="preserve">ELDA ELVIRA DIAZ </t>
  </si>
  <si>
    <t xml:space="preserve">BREAD,PEANUTS,COFFE </t>
  </si>
  <si>
    <t>100K</t>
  </si>
  <si>
    <t xml:space="preserve">VICTORIA PEREZ </t>
  </si>
  <si>
    <t xml:space="preserve">BYRON CORONADO </t>
  </si>
  <si>
    <t>CLOTHES,SHOES,HATS,PEANUTS,CONDIMENTS</t>
  </si>
  <si>
    <t>202K</t>
  </si>
  <si>
    <t xml:space="preserve">INGRID MARTINEZ </t>
  </si>
  <si>
    <t xml:space="preserve">SANDRA MARTINEZ </t>
  </si>
  <si>
    <t>CLOTHES,SHOES,HATS,ACCESORIES,CANDYS</t>
  </si>
  <si>
    <t>02K</t>
  </si>
  <si>
    <t xml:space="preserve">FLOR ORTEGA </t>
  </si>
  <si>
    <t xml:space="preserve">HUMBERTO ARRIAGA </t>
  </si>
  <si>
    <t>223B</t>
  </si>
  <si>
    <t xml:space="preserve">OFELIA CERRAN </t>
  </si>
  <si>
    <t xml:space="preserve">DEYSI FLORES </t>
  </si>
  <si>
    <t>CLOTHES,COFFE,NUTS,CONDIMENTS,CARTERAS,NATURAL MEDICINE,COOKED VEGETABLES</t>
  </si>
  <si>
    <t>1001B</t>
  </si>
  <si>
    <t xml:space="preserve">CESAR HERNANDEZ </t>
  </si>
  <si>
    <t xml:space="preserve">NAHOMY AGUILAR </t>
  </si>
  <si>
    <t xml:space="preserve">CHIPS,CANDYS,GALLETAS </t>
  </si>
  <si>
    <t>1002A</t>
  </si>
  <si>
    <t xml:space="preserve">INES ROSALES </t>
  </si>
  <si>
    <t xml:space="preserve">SAMUEL ESCOBAR </t>
  </si>
  <si>
    <t xml:space="preserve">CHIPS,TOYS,CANASTOS,TORTILLERAS </t>
  </si>
  <si>
    <t>1003A</t>
  </si>
  <si>
    <t xml:space="preserve">CESAR RAMIREZ </t>
  </si>
  <si>
    <t xml:space="preserve">FRANCISCO CRUZ </t>
  </si>
  <si>
    <t xml:space="preserve">SOUPSS,CHIPS,BREAD,PEANUTS,CANASTOS </t>
  </si>
  <si>
    <t>1004A</t>
  </si>
  <si>
    <t>AZUL VILLA</t>
  </si>
  <si>
    <t xml:space="preserve">EVA PEREZ </t>
  </si>
  <si>
    <t xml:space="preserve">CARTERAS,PEANUTS,TOYS </t>
  </si>
  <si>
    <t>1005A</t>
  </si>
  <si>
    <t xml:space="preserve">AMANDA CHAVEZ </t>
  </si>
  <si>
    <t xml:space="preserve">FREDY ESTRADA </t>
  </si>
  <si>
    <t xml:space="preserve">CLOTHES,TOYS,TAZAS D/ BARRO </t>
  </si>
  <si>
    <t>412M</t>
  </si>
  <si>
    <t xml:space="preserve">MANUELA SOLIZ </t>
  </si>
  <si>
    <t xml:space="preserve">ULDA CALDERON </t>
  </si>
  <si>
    <t xml:space="preserve">CLOTHES,DOCUMENTS,VITAMIN SUPPLEMENTS </t>
  </si>
  <si>
    <t>301K</t>
  </si>
  <si>
    <t xml:space="preserve">PEDRO DE LA CRUZ LOPEZ </t>
  </si>
  <si>
    <t xml:space="preserve">WILMER NOE SUCHITE </t>
  </si>
  <si>
    <t xml:space="preserve">ASHLEY ARCHILA </t>
  </si>
  <si>
    <t xml:space="preserve">MANUEL HERNANDEZ </t>
  </si>
  <si>
    <t>041M</t>
  </si>
  <si>
    <t xml:space="preserve">CLOTHES,VITAMIN SUPPLEMENTSS </t>
  </si>
  <si>
    <t>INSTRUCCIÓN: De click en Registrar datos para ingresar los valores de las facturas y modificar si se quiere editar un bulto</t>
  </si>
  <si>
    <t>Atendido por</t>
  </si>
  <si>
    <t>Tipo</t>
  </si>
  <si>
    <t>OTTO CORDERO</t>
  </si>
  <si>
    <t>SAN JOSE LA ARADA</t>
  </si>
  <si>
    <t xml:space="preserve">CONDIMENTS,PRESERVE,COOKED VEGETABLES </t>
  </si>
  <si>
    <t>AURA LILY AQUINO</t>
  </si>
  <si>
    <t>CONDIMENTS, COOKED VEGETABLES, FLOUR</t>
  </si>
  <si>
    <t xml:space="preserve">MARIBEL RAMIREZ </t>
  </si>
  <si>
    <t>QUETZALTEPEQUE</t>
  </si>
  <si>
    <t xml:space="preserve">BREAD,CHEESE,COOKED VEGETABLES </t>
  </si>
  <si>
    <t>02233A</t>
  </si>
  <si>
    <t>TAMALES</t>
  </si>
  <si>
    <t>AURA</t>
  </si>
  <si>
    <t>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</si>
</sst>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0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43" fontId="5" fillId="0" borderId="14" xfId="1" applyFont="1" applyFill="1" applyBorder="1" applyAlignment="1">
      <alignment vertical="center"/>
    </xf>
    <xf numFmtId="43" fontId="5" fillId="0" borderId="0" xfId="1" applyFont="1" applyFill="1" applyBorder="1" applyAlignment="1">
      <alignment horizontal="left" vertical="center"/>
    </xf>
    <xf numFmtId="43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42" xfId="0" applyFont="1" applyBorder="1" applyAlignment="1"/>
    <xf numFmtId="0" fontId="6" fillId="0" borderId="42" xfId="0" applyFont="1" applyBorder="1" applyAlignment="1">
      <alignment horizontal="left"/>
    </xf>
    <xf numFmtId="0" fontId="6" fillId="0" borderId="42" xfId="0" applyFont="1" applyBorder="1" applyAlignment="1">
      <alignment wrapText="1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16" xfId="0" applyFont="1" applyBorder="1" applyAlignment="1"/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C25" sqref="C25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24" t="s">
        <v>674</v>
      </c>
      <c r="C1" s="124"/>
      <c r="D1" s="124"/>
      <c r="E1" s="124"/>
      <c r="F1" s="29"/>
      <c r="G1" s="30">
        <v>1</v>
      </c>
      <c r="J1" s="31" t="s">
        <v>14</v>
      </c>
    </row>
    <row r="2" spans="1:26" ht="17.25" customHeight="1" x14ac:dyDescent="0.25">
      <c r="A2" s="32" t="s">
        <v>6</v>
      </c>
      <c r="B2" s="125" t="str">
        <f>VLOOKUP(I3,'Base de Datos'!J2:L195,2,FALSE)</f>
        <v>4TA. CALLE A 2-21 ZONA 1</v>
      </c>
      <c r="C2" s="125"/>
      <c r="D2" s="125"/>
      <c r="E2" s="125"/>
      <c r="F2" s="132" t="str">
        <f>VLOOKUP(I3,'Base de Datos'!J2:L195,3,FALSE)</f>
        <v>CHIQUIMULA - GUATEMALA</v>
      </c>
      <c r="G2" s="13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9" t="s">
        <v>674</v>
      </c>
      <c r="C3" s="99"/>
      <c r="D3" s="99"/>
      <c r="E3" s="99"/>
      <c r="F3" s="37"/>
      <c r="G3" s="38"/>
      <c r="I3" s="39">
        <v>1</v>
      </c>
      <c r="J3" s="39">
        <v>1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31" t="str">
        <f>VLOOKUP(J3,'Base de Datos'!A2:F82,2,FALSE)</f>
        <v>1 MAPLE ST</v>
      </c>
      <c r="C4" s="131"/>
      <c r="D4" s="131" t="str">
        <f>VLOOKUP(J3,'Base de Datos'!A2:F82,3,FALSE)</f>
        <v>NEW YORK HILLS</v>
      </c>
      <c r="E4" s="131"/>
      <c r="F4" s="42" t="str">
        <f>VLOOKUP(J3,'Base de Datos'!A2:F82,4,FALSE)</f>
        <v>NY</v>
      </c>
      <c r="G4" s="43">
        <f>VLOOKUP(J3,'Base de Datos'!A2:F82,5,FALSE)</f>
        <v>10080</v>
      </c>
      <c r="L4" s="36"/>
      <c r="M4" s="36"/>
      <c r="N4" s="36"/>
    </row>
    <row r="5" spans="1:26" ht="20.25" customHeight="1" x14ac:dyDescent="0.25">
      <c r="A5" s="41" t="s">
        <v>9</v>
      </c>
      <c r="B5" s="135">
        <v>2405421628</v>
      </c>
      <c r="C5" s="135"/>
      <c r="D5" s="132"/>
      <c r="E5" s="132"/>
      <c r="F5" s="44" t="s">
        <v>4</v>
      </c>
      <c r="G5" s="45">
        <f ca="1">TODAY()</f>
        <v>44902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9" t="s">
        <v>0</v>
      </c>
      <c r="B7" s="130"/>
      <c r="C7" s="130" t="s">
        <v>1</v>
      </c>
      <c r="D7" s="130"/>
      <c r="E7" s="13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04" t="s">
        <v>23</v>
      </c>
      <c r="B8" s="105"/>
      <c r="C8" s="110" t="s">
        <v>672</v>
      </c>
      <c r="D8" s="111"/>
      <c r="E8" s="112"/>
      <c r="F8" s="101">
        <v>45</v>
      </c>
      <c r="G8" s="97" t="s">
        <v>671</v>
      </c>
      <c r="J8" s="51"/>
      <c r="K8" s="51"/>
      <c r="L8" s="51"/>
    </row>
    <row r="9" spans="1:26" ht="15" customHeight="1" x14ac:dyDescent="0.25">
      <c r="A9" s="106"/>
      <c r="B9" s="107"/>
      <c r="C9" s="113"/>
      <c r="D9" s="114"/>
      <c r="E9" s="115"/>
      <c r="F9" s="102"/>
      <c r="G9" s="98"/>
      <c r="I9" s="52"/>
      <c r="J9" s="51"/>
      <c r="K9" s="51"/>
      <c r="L9" s="51"/>
    </row>
    <row r="10" spans="1:26" ht="15" customHeight="1" x14ac:dyDescent="0.2">
      <c r="A10" s="106"/>
      <c r="B10" s="107"/>
      <c r="C10" s="113"/>
      <c r="D10" s="114"/>
      <c r="E10" s="115"/>
      <c r="F10" s="102"/>
      <c r="G10" s="98"/>
      <c r="I10" s="53"/>
      <c r="J10" s="51"/>
      <c r="K10" s="51"/>
      <c r="L10" s="51"/>
    </row>
    <row r="11" spans="1:26" ht="15" customHeight="1" x14ac:dyDescent="0.2">
      <c r="A11" s="106"/>
      <c r="B11" s="107"/>
      <c r="C11" s="113"/>
      <c r="D11" s="114"/>
      <c r="E11" s="115"/>
      <c r="F11" s="102"/>
      <c r="G11" s="98"/>
    </row>
    <row r="12" spans="1:26" ht="27" customHeight="1" x14ac:dyDescent="0.2">
      <c r="A12" s="106"/>
      <c r="B12" s="107"/>
      <c r="C12" s="113"/>
      <c r="D12" s="114"/>
      <c r="E12" s="115"/>
      <c r="F12" s="102" t="s">
        <v>13</v>
      </c>
      <c r="G12" s="98"/>
    </row>
    <row r="13" spans="1:26" ht="25.5" customHeight="1" x14ac:dyDescent="0.35">
      <c r="A13" s="108"/>
      <c r="B13" s="109"/>
      <c r="C13" s="116"/>
      <c r="D13" s="117"/>
      <c r="E13" s="118"/>
      <c r="F13" s="103"/>
      <c r="G13" s="54" t="s">
        <v>418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26" t="s">
        <v>3</v>
      </c>
      <c r="B15" s="127"/>
      <c r="C15" s="128" t="s">
        <v>673</v>
      </c>
      <c r="D15" s="128"/>
      <c r="E15" s="128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00" t="s">
        <v>12</v>
      </c>
      <c r="B17" s="100"/>
      <c r="C17" s="100"/>
      <c r="D17" s="100"/>
      <c r="E17" s="100"/>
      <c r="F17" s="100"/>
      <c r="G17" s="100"/>
      <c r="H17" s="53"/>
      <c r="J17" s="136" t="s">
        <v>660</v>
      </c>
      <c r="K17" s="136"/>
      <c r="L17" s="136"/>
      <c r="M17" s="13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36"/>
      <c r="K18" s="136"/>
      <c r="L18" s="136"/>
      <c r="M18" s="13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36"/>
      <c r="K19" s="136"/>
      <c r="L19" s="136"/>
      <c r="M19" s="13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319</v>
      </c>
      <c r="F21" s="63"/>
      <c r="G21" s="63"/>
      <c r="J21" s="134"/>
      <c r="K21" s="134"/>
      <c r="L21" s="13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34"/>
      <c r="K22" s="134"/>
      <c r="L22" s="13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34"/>
      <c r="K23" s="134"/>
      <c r="L23" s="13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119" t="s">
        <v>322</v>
      </c>
      <c r="J26" s="120"/>
      <c r="K26" s="120"/>
      <c r="L26" s="12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122">
        <f>SUM(Manifiesto!E3:E1048576)</f>
        <v>1294.9900000000005</v>
      </c>
      <c r="J27" s="122"/>
      <c r="K27" s="122"/>
      <c r="L27" s="12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23"/>
      <c r="B35" s="123"/>
      <c r="C35" s="123"/>
      <c r="D35" s="123"/>
      <c r="E35" s="123"/>
      <c r="F35" s="123"/>
      <c r="G35" s="12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A2" sqref="A2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86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385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386</v>
      </c>
      <c r="C74" t="s">
        <v>28</v>
      </c>
      <c r="D74" t="s">
        <v>18</v>
      </c>
      <c r="E74">
        <v>10549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387</v>
      </c>
      <c r="C75" t="s">
        <v>37</v>
      </c>
      <c r="D75" t="s">
        <v>18</v>
      </c>
      <c r="E75">
        <v>10576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388</v>
      </c>
      <c r="C76" t="s">
        <v>50</v>
      </c>
      <c r="D76" t="s">
        <v>18</v>
      </c>
      <c r="E76">
        <v>10507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389</v>
      </c>
      <c r="C77" t="s">
        <v>64</v>
      </c>
      <c r="D77" t="s">
        <v>18</v>
      </c>
      <c r="E77">
        <v>10514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390</v>
      </c>
      <c r="C78" t="s">
        <v>50</v>
      </c>
      <c r="D78" t="s">
        <v>18</v>
      </c>
      <c r="E78">
        <v>10507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391</v>
      </c>
      <c r="C79" t="s">
        <v>50</v>
      </c>
      <c r="D79" t="s">
        <v>18</v>
      </c>
      <c r="E79">
        <v>10549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392</v>
      </c>
      <c r="C80" t="s">
        <v>28</v>
      </c>
      <c r="D80" t="s">
        <v>18</v>
      </c>
      <c r="E80">
        <v>10549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393</v>
      </c>
      <c r="C81" t="s">
        <v>22</v>
      </c>
      <c r="D81" t="s">
        <v>18</v>
      </c>
      <c r="E81">
        <v>10080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394</v>
      </c>
      <c r="C82" t="s">
        <v>26</v>
      </c>
      <c r="D82" t="s">
        <v>18</v>
      </c>
      <c r="E82">
        <v>10549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395</v>
      </c>
      <c r="C83" t="s">
        <v>396</v>
      </c>
      <c r="D83" t="s">
        <v>397</v>
      </c>
      <c r="E83">
        <v>70053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398</v>
      </c>
      <c r="C84" t="s">
        <v>399</v>
      </c>
      <c r="D84" t="s">
        <v>400</v>
      </c>
      <c r="E84">
        <v>36824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401</v>
      </c>
      <c r="C85" t="s">
        <v>402</v>
      </c>
      <c r="D85" t="s">
        <v>403</v>
      </c>
      <c r="E85">
        <v>18020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404</v>
      </c>
      <c r="C86" t="s">
        <v>405</v>
      </c>
      <c r="D86" t="s">
        <v>407</v>
      </c>
      <c r="E86">
        <v>91401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406</v>
      </c>
      <c r="C87" t="s">
        <v>408</v>
      </c>
      <c r="D87" t="s">
        <v>407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409</v>
      </c>
      <c r="C88" t="s">
        <v>410</v>
      </c>
      <c r="D88" t="s">
        <v>407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411</v>
      </c>
      <c r="D89" t="s">
        <v>407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412</v>
      </c>
      <c r="C90" t="s">
        <v>413</v>
      </c>
      <c r="D90" t="s">
        <v>414</v>
      </c>
      <c r="E90">
        <v>98632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415</v>
      </c>
      <c r="C91" t="s">
        <v>416</v>
      </c>
      <c r="D91" t="s">
        <v>417</v>
      </c>
      <c r="E91">
        <v>32773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13" priority="414"/>
    <cfRule type="duplicateValues" dxfId="12" priority="415"/>
    <cfRule type="cellIs" dxfId="11" priority="416" operator="equal">
      <formula>5773500711</formula>
    </cfRule>
    <cfRule type="cellIs" dxfId="10" priority="417" operator="equal">
      <formula>2710639176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zoomScale="106" zoomScaleNormal="106" workbookViewId="0">
      <selection activeCell="F1" sqref="F1"/>
    </sheetView>
  </sheetViews>
  <sheetFormatPr baseColWidth="10" defaultRowHeight="14.25" x14ac:dyDescent="0.2"/>
  <cols>
    <col min="1" max="1" width="11.7109375" style="71" customWidth="1"/>
    <col min="2" max="2" width="10.5703125" style="71" customWidth="1"/>
    <col min="3" max="3" width="9.42578125" style="71" customWidth="1"/>
    <col min="4" max="5" width="11.42578125" style="71" customWidth="1"/>
    <col min="6" max="6" width="37.5703125" style="71" customWidth="1"/>
    <col min="7" max="7" width="51.42578125" style="71" customWidth="1"/>
    <col min="8" max="8" width="38.7109375" style="71" bestFit="1" customWidth="1"/>
    <col min="9" max="9" width="15.85546875" style="71" customWidth="1"/>
    <col min="10" max="10" width="11.42578125" style="71" customWidth="1"/>
    <col min="11" max="11" width="15.85546875" style="71" customWidth="1"/>
    <col min="12" max="12" width="40" style="71" customWidth="1"/>
    <col min="13" max="13" width="36.5703125" style="71" customWidth="1"/>
    <col min="14" max="14" width="22.85546875" style="71" customWidth="1"/>
    <col min="15" max="15" width="19.5703125" style="71" customWidth="1"/>
    <col min="16" max="16" width="11.42578125" style="71" customWidth="1"/>
    <col min="17" max="17" width="20.140625" style="71" customWidth="1"/>
    <col min="18" max="18" width="70.42578125" style="71" customWidth="1"/>
    <col min="19" max="19" width="5.85546875" style="88" customWidth="1"/>
    <col min="20" max="16384" width="11.42578125" style="71"/>
  </cols>
  <sheetData>
    <row r="1" spans="1:28" x14ac:dyDescent="0.2">
      <c r="A1" s="137" t="s">
        <v>316</v>
      </c>
      <c r="B1" s="137"/>
      <c r="C1" s="137"/>
      <c r="D1" s="137"/>
      <c r="E1" s="137"/>
      <c r="F1" s="89" t="s">
        <v>419</v>
      </c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70"/>
    </row>
    <row r="2" spans="1:28" ht="21.75" customHeight="1" x14ac:dyDescent="0.2">
      <c r="A2" s="72" t="s">
        <v>105</v>
      </c>
      <c r="B2" s="72" t="s">
        <v>320</v>
      </c>
      <c r="C2" s="72" t="s">
        <v>106</v>
      </c>
      <c r="D2" s="72" t="s">
        <v>321</v>
      </c>
      <c r="E2" s="72" t="s">
        <v>10</v>
      </c>
      <c r="F2" s="73" t="s">
        <v>323</v>
      </c>
      <c r="G2" s="74" t="s">
        <v>324</v>
      </c>
      <c r="H2" s="74" t="s">
        <v>325</v>
      </c>
      <c r="I2" s="73" t="s">
        <v>107</v>
      </c>
      <c r="J2" s="73" t="s">
        <v>108</v>
      </c>
      <c r="K2" s="75" t="s">
        <v>109</v>
      </c>
      <c r="L2" s="76" t="s">
        <v>326</v>
      </c>
      <c r="M2" s="76" t="s">
        <v>327</v>
      </c>
      <c r="N2" s="76" t="s">
        <v>328</v>
      </c>
      <c r="O2" s="76" t="s">
        <v>329</v>
      </c>
      <c r="P2" s="76" t="s">
        <v>108</v>
      </c>
      <c r="Q2" s="76" t="s">
        <v>109</v>
      </c>
      <c r="R2" s="77" t="s">
        <v>110</v>
      </c>
      <c r="S2" s="78" t="s">
        <v>111</v>
      </c>
      <c r="W2" s="79"/>
      <c r="X2" s="80" t="s">
        <v>317</v>
      </c>
      <c r="AB2" s="81"/>
    </row>
    <row r="3" spans="1:28" ht="15.75" customHeight="1" x14ac:dyDescent="0.2">
      <c r="A3" s="82" t="s">
        <v>420</v>
      </c>
      <c r="B3" s="82" t="s">
        <v>422</v>
      </c>
      <c r="C3" s="82" t="s">
        <v>423</v>
      </c>
      <c r="D3" s="82">
        <v>1</v>
      </c>
      <c r="E3" s="83">
        <v>20.41</v>
      </c>
      <c r="F3" s="82" t="s">
        <v>663</v>
      </c>
      <c r="G3" s="82" t="s">
        <v>301</v>
      </c>
      <c r="H3" s="82" t="s">
        <v>269</v>
      </c>
      <c r="I3" s="82" t="s">
        <v>425</v>
      </c>
      <c r="J3" s="82" t="s">
        <v>425</v>
      </c>
      <c r="K3" s="82"/>
      <c r="L3" s="82" t="s">
        <v>666</v>
      </c>
      <c r="M3" s="82" t="s">
        <v>30</v>
      </c>
      <c r="N3" s="82" t="s">
        <v>28</v>
      </c>
      <c r="O3" s="82" t="s">
        <v>18</v>
      </c>
      <c r="P3" s="82" t="s">
        <v>429</v>
      </c>
      <c r="Q3" s="82">
        <v>10549</v>
      </c>
      <c r="R3" s="82" t="s">
        <v>667</v>
      </c>
      <c r="S3" s="82">
        <v>10</v>
      </c>
      <c r="T3" s="84"/>
      <c r="U3" s="84"/>
      <c r="W3" s="85"/>
      <c r="X3" s="69">
        <v>68</v>
      </c>
      <c r="Y3" s="71" t="s">
        <v>318</v>
      </c>
    </row>
    <row r="4" spans="1:28" ht="15.75" customHeight="1" x14ac:dyDescent="0.2">
      <c r="A4" s="82" t="s">
        <v>437</v>
      </c>
      <c r="B4" s="82" t="s">
        <v>422</v>
      </c>
      <c r="C4" s="82" t="s">
        <v>423</v>
      </c>
      <c r="D4" s="82">
        <v>1</v>
      </c>
      <c r="E4" s="83">
        <v>20.41</v>
      </c>
      <c r="F4" s="82" t="s">
        <v>438</v>
      </c>
      <c r="G4" s="82" t="s">
        <v>115</v>
      </c>
      <c r="H4" s="82" t="s">
        <v>269</v>
      </c>
      <c r="I4" s="82" t="s">
        <v>425</v>
      </c>
      <c r="J4" s="82" t="s">
        <v>425</v>
      </c>
      <c r="K4" s="82"/>
      <c r="L4" s="82" t="s">
        <v>439</v>
      </c>
      <c r="M4" s="82" t="s">
        <v>25</v>
      </c>
      <c r="N4" s="82" t="s">
        <v>26</v>
      </c>
      <c r="O4" s="82" t="s">
        <v>18</v>
      </c>
      <c r="P4" s="82" t="s">
        <v>429</v>
      </c>
      <c r="Q4" s="82">
        <v>10549</v>
      </c>
      <c r="R4" s="82" t="s">
        <v>440</v>
      </c>
      <c r="S4" s="82">
        <v>2</v>
      </c>
    </row>
    <row r="5" spans="1:28" ht="13.5" customHeight="1" x14ac:dyDescent="0.2">
      <c r="A5" s="82" t="s">
        <v>441</v>
      </c>
      <c r="B5" s="82" t="s">
        <v>422</v>
      </c>
      <c r="C5" s="82" t="s">
        <v>423</v>
      </c>
      <c r="D5" s="82">
        <v>1</v>
      </c>
      <c r="E5" s="83">
        <v>20.41</v>
      </c>
      <c r="F5" s="82" t="s">
        <v>442</v>
      </c>
      <c r="G5" s="82" t="s">
        <v>116</v>
      </c>
      <c r="H5" s="82" t="s">
        <v>269</v>
      </c>
      <c r="I5" s="82" t="s">
        <v>425</v>
      </c>
      <c r="J5" s="82" t="s">
        <v>425</v>
      </c>
      <c r="K5" s="82"/>
      <c r="L5" s="82" t="s">
        <v>443</v>
      </c>
      <c r="M5" s="82" t="s">
        <v>27</v>
      </c>
      <c r="N5" s="82" t="s">
        <v>28</v>
      </c>
      <c r="O5" s="82" t="s">
        <v>18</v>
      </c>
      <c r="P5" s="82" t="s">
        <v>429</v>
      </c>
      <c r="Q5" s="82">
        <v>10549</v>
      </c>
      <c r="R5" s="82" t="s">
        <v>444</v>
      </c>
      <c r="S5" s="82">
        <v>2</v>
      </c>
    </row>
    <row r="6" spans="1:28" x14ac:dyDescent="0.2">
      <c r="A6" s="69" t="s">
        <v>445</v>
      </c>
      <c r="B6" s="69" t="s">
        <v>422</v>
      </c>
      <c r="C6" s="69" t="s">
        <v>423</v>
      </c>
      <c r="D6" s="70">
        <v>1</v>
      </c>
      <c r="E6" s="70">
        <v>20.41</v>
      </c>
      <c r="F6" s="69" t="s">
        <v>446</v>
      </c>
      <c r="G6" s="69" t="s">
        <v>117</v>
      </c>
      <c r="H6" s="69" t="s">
        <v>269</v>
      </c>
      <c r="I6" s="69" t="s">
        <v>425</v>
      </c>
      <c r="J6" s="69" t="s">
        <v>425</v>
      </c>
      <c r="K6" s="69"/>
      <c r="L6" s="69" t="s">
        <v>447</v>
      </c>
      <c r="M6" s="69" t="s">
        <v>29</v>
      </c>
      <c r="N6" s="69" t="s">
        <v>28</v>
      </c>
      <c r="O6" s="69" t="s">
        <v>18</v>
      </c>
      <c r="P6" s="69" t="s">
        <v>429</v>
      </c>
      <c r="Q6" s="70">
        <v>10549</v>
      </c>
      <c r="R6" s="69" t="s">
        <v>448</v>
      </c>
      <c r="S6" s="70">
        <v>3</v>
      </c>
    </row>
    <row r="7" spans="1:28" x14ac:dyDescent="0.2">
      <c r="A7" s="69" t="s">
        <v>449</v>
      </c>
      <c r="B7" s="69" t="s">
        <v>422</v>
      </c>
      <c r="C7" s="69" t="s">
        <v>423</v>
      </c>
      <c r="D7" s="70">
        <v>1</v>
      </c>
      <c r="E7" s="70">
        <v>20.41</v>
      </c>
      <c r="F7" s="69" t="s">
        <v>450</v>
      </c>
      <c r="G7" s="69" t="s">
        <v>118</v>
      </c>
      <c r="H7" s="69" t="s">
        <v>269</v>
      </c>
      <c r="I7" s="69" t="s">
        <v>425</v>
      </c>
      <c r="J7" s="69" t="s">
        <v>425</v>
      </c>
      <c r="K7" s="69"/>
      <c r="L7" s="69" t="s">
        <v>451</v>
      </c>
      <c r="M7" s="69" t="s">
        <v>30</v>
      </c>
      <c r="N7" s="69" t="s">
        <v>28</v>
      </c>
      <c r="O7" s="69" t="s">
        <v>18</v>
      </c>
      <c r="P7" s="69" t="s">
        <v>429</v>
      </c>
      <c r="Q7" s="70">
        <v>10549</v>
      </c>
      <c r="R7" s="69" t="s">
        <v>452</v>
      </c>
      <c r="S7" s="70">
        <v>3</v>
      </c>
    </row>
    <row r="8" spans="1:28" x14ac:dyDescent="0.2">
      <c r="A8" s="69" t="s">
        <v>453</v>
      </c>
      <c r="B8" s="69" t="s">
        <v>422</v>
      </c>
      <c r="C8" s="69" t="s">
        <v>423</v>
      </c>
      <c r="D8" s="70">
        <v>1</v>
      </c>
      <c r="E8" s="70">
        <v>27.22</v>
      </c>
      <c r="F8" s="69" t="s">
        <v>454</v>
      </c>
      <c r="G8" s="69" t="s">
        <v>164</v>
      </c>
      <c r="H8" s="69" t="s">
        <v>163</v>
      </c>
      <c r="I8" s="69" t="s">
        <v>425</v>
      </c>
      <c r="J8" s="69" t="s">
        <v>425</v>
      </c>
      <c r="K8" s="69"/>
      <c r="L8" s="69" t="s">
        <v>455</v>
      </c>
      <c r="M8" s="69" t="s">
        <v>31</v>
      </c>
      <c r="N8" s="69" t="s">
        <v>28</v>
      </c>
      <c r="O8" s="69" t="s">
        <v>18</v>
      </c>
      <c r="P8" s="69" t="s">
        <v>429</v>
      </c>
      <c r="Q8" s="70">
        <v>10549</v>
      </c>
      <c r="R8" s="69" t="s">
        <v>665</v>
      </c>
      <c r="S8" s="70">
        <v>4</v>
      </c>
    </row>
    <row r="9" spans="1:28" x14ac:dyDescent="0.2">
      <c r="A9" s="69" t="s">
        <v>456</v>
      </c>
      <c r="B9" s="69" t="s">
        <v>422</v>
      </c>
      <c r="C9" s="69" t="s">
        <v>423</v>
      </c>
      <c r="D9" s="70">
        <v>1</v>
      </c>
      <c r="E9" s="70">
        <v>20.41</v>
      </c>
      <c r="F9" s="69" t="s">
        <v>457</v>
      </c>
      <c r="G9" s="69" t="s">
        <v>165</v>
      </c>
      <c r="H9" s="69" t="s">
        <v>163</v>
      </c>
      <c r="I9" s="69" t="s">
        <v>425</v>
      </c>
      <c r="J9" s="69" t="s">
        <v>425</v>
      </c>
      <c r="K9" s="69"/>
      <c r="L9" s="69" t="s">
        <v>458</v>
      </c>
      <c r="M9" s="69" t="s">
        <v>32</v>
      </c>
      <c r="N9" s="69" t="s">
        <v>28</v>
      </c>
      <c r="O9" s="69" t="s">
        <v>18</v>
      </c>
      <c r="P9" s="69" t="s">
        <v>429</v>
      </c>
      <c r="Q9" s="70">
        <v>10549</v>
      </c>
      <c r="R9" s="69" t="s">
        <v>444</v>
      </c>
      <c r="S9" s="70">
        <v>4</v>
      </c>
    </row>
    <row r="10" spans="1:28" x14ac:dyDescent="0.2">
      <c r="A10" s="69" t="s">
        <v>459</v>
      </c>
      <c r="B10" s="69" t="s">
        <v>422</v>
      </c>
      <c r="C10" s="69" t="s">
        <v>423</v>
      </c>
      <c r="D10" s="70">
        <v>1</v>
      </c>
      <c r="E10" s="70">
        <v>22.68</v>
      </c>
      <c r="F10" s="69" t="s">
        <v>460</v>
      </c>
      <c r="G10" s="69" t="s">
        <v>231</v>
      </c>
      <c r="H10" s="69" t="s">
        <v>273</v>
      </c>
      <c r="I10" s="69" t="s">
        <v>425</v>
      </c>
      <c r="J10" s="69" t="s">
        <v>425</v>
      </c>
      <c r="K10" s="69"/>
      <c r="L10" s="69" t="s">
        <v>461</v>
      </c>
      <c r="M10" s="69" t="s">
        <v>33</v>
      </c>
      <c r="N10" s="69" t="s">
        <v>28</v>
      </c>
      <c r="O10" s="69" t="s">
        <v>18</v>
      </c>
      <c r="P10" s="69" t="s">
        <v>429</v>
      </c>
      <c r="Q10" s="70">
        <v>10549</v>
      </c>
      <c r="R10" s="69" t="s">
        <v>444</v>
      </c>
      <c r="S10" s="70">
        <v>5</v>
      </c>
    </row>
    <row r="11" spans="1:28" x14ac:dyDescent="0.2">
      <c r="A11" s="69" t="s">
        <v>462</v>
      </c>
      <c r="B11" s="69" t="s">
        <v>422</v>
      </c>
      <c r="C11" s="69" t="s">
        <v>423</v>
      </c>
      <c r="D11" s="70">
        <v>1</v>
      </c>
      <c r="E11" s="70">
        <v>27.22</v>
      </c>
      <c r="F11" s="69" t="s">
        <v>668</v>
      </c>
      <c r="G11" s="69" t="s">
        <v>232</v>
      </c>
      <c r="H11" s="69" t="s">
        <v>273</v>
      </c>
      <c r="I11" s="69" t="s">
        <v>425</v>
      </c>
      <c r="J11" s="69" t="s">
        <v>425</v>
      </c>
      <c r="K11" s="69"/>
      <c r="L11" s="69" t="s">
        <v>463</v>
      </c>
      <c r="M11" s="69" t="s">
        <v>34</v>
      </c>
      <c r="N11" s="69" t="s">
        <v>28</v>
      </c>
      <c r="O11" s="69" t="s">
        <v>18</v>
      </c>
      <c r="P11" s="69" t="s">
        <v>429</v>
      </c>
      <c r="Q11" s="70">
        <v>10509</v>
      </c>
      <c r="R11" s="69" t="s">
        <v>670</v>
      </c>
      <c r="S11" s="70">
        <v>8</v>
      </c>
    </row>
    <row r="12" spans="1:28" x14ac:dyDescent="0.2">
      <c r="A12" s="69" t="s">
        <v>464</v>
      </c>
      <c r="B12" s="69" t="s">
        <v>422</v>
      </c>
      <c r="C12" s="69" t="s">
        <v>423</v>
      </c>
      <c r="D12" s="70">
        <v>1</v>
      </c>
      <c r="E12" s="70">
        <v>20.41</v>
      </c>
      <c r="F12" s="69" t="s">
        <v>465</v>
      </c>
      <c r="G12" s="69" t="s">
        <v>194</v>
      </c>
      <c r="H12" s="69" t="s">
        <v>271</v>
      </c>
      <c r="I12" s="69" t="s">
        <v>425</v>
      </c>
      <c r="J12" s="69" t="s">
        <v>425</v>
      </c>
      <c r="K12" s="69"/>
      <c r="L12" s="69" t="s">
        <v>466</v>
      </c>
      <c r="M12" s="69" t="s">
        <v>35</v>
      </c>
      <c r="N12" s="69" t="s">
        <v>26</v>
      </c>
      <c r="O12" s="69" t="s">
        <v>18</v>
      </c>
      <c r="P12" s="69" t="s">
        <v>429</v>
      </c>
      <c r="Q12" s="70">
        <v>10509</v>
      </c>
      <c r="R12" s="69" t="s">
        <v>467</v>
      </c>
      <c r="S12" s="70">
        <v>6</v>
      </c>
    </row>
    <row r="13" spans="1:28" x14ac:dyDescent="0.2">
      <c r="A13" s="69" t="s">
        <v>468</v>
      </c>
      <c r="B13" s="69" t="s">
        <v>422</v>
      </c>
      <c r="C13" s="69" t="s">
        <v>423</v>
      </c>
      <c r="D13" s="70">
        <v>1</v>
      </c>
      <c r="E13" s="70">
        <v>20.41</v>
      </c>
      <c r="F13" s="69" t="s">
        <v>469</v>
      </c>
      <c r="G13" s="69" t="s">
        <v>179</v>
      </c>
      <c r="H13" s="69" t="s">
        <v>113</v>
      </c>
      <c r="I13" s="69" t="s">
        <v>425</v>
      </c>
      <c r="J13" s="69" t="s">
        <v>425</v>
      </c>
      <c r="K13" s="69"/>
      <c r="L13" s="69" t="s">
        <v>470</v>
      </c>
      <c r="M13" s="69" t="s">
        <v>36</v>
      </c>
      <c r="N13" s="69" t="s">
        <v>37</v>
      </c>
      <c r="O13" s="69" t="s">
        <v>18</v>
      </c>
      <c r="P13" s="69" t="s">
        <v>429</v>
      </c>
      <c r="Q13" s="70">
        <v>10576</v>
      </c>
      <c r="R13" s="69" t="s">
        <v>440</v>
      </c>
      <c r="S13" s="70">
        <v>6</v>
      </c>
    </row>
    <row r="14" spans="1:28" x14ac:dyDescent="0.2">
      <c r="A14" s="69" t="s">
        <v>471</v>
      </c>
      <c r="B14" s="69" t="s">
        <v>422</v>
      </c>
      <c r="C14" s="69" t="s">
        <v>423</v>
      </c>
      <c r="D14" s="70">
        <v>1</v>
      </c>
      <c r="E14" s="70">
        <v>13.61</v>
      </c>
      <c r="F14" s="69" t="s">
        <v>472</v>
      </c>
      <c r="G14" s="69" t="s">
        <v>119</v>
      </c>
      <c r="H14" s="69" t="s">
        <v>269</v>
      </c>
      <c r="I14" s="69" t="s">
        <v>425</v>
      </c>
      <c r="J14" s="69" t="s">
        <v>425</v>
      </c>
      <c r="K14" s="69"/>
      <c r="L14" s="69" t="s">
        <v>473</v>
      </c>
      <c r="M14" s="69" t="s">
        <v>38</v>
      </c>
      <c r="N14" s="69" t="s">
        <v>39</v>
      </c>
      <c r="O14" s="69" t="s">
        <v>18</v>
      </c>
      <c r="P14" s="69" t="s">
        <v>429</v>
      </c>
      <c r="Q14" s="70">
        <v>10549</v>
      </c>
      <c r="R14" s="69" t="s">
        <v>436</v>
      </c>
      <c r="S14" s="70">
        <v>7</v>
      </c>
    </row>
    <row r="15" spans="1:28" x14ac:dyDescent="0.2">
      <c r="A15" s="69" t="s">
        <v>474</v>
      </c>
      <c r="B15" s="69" t="s">
        <v>422</v>
      </c>
      <c r="C15" s="69" t="s">
        <v>423</v>
      </c>
      <c r="D15" s="70">
        <v>1</v>
      </c>
      <c r="E15" s="70">
        <v>20.41</v>
      </c>
      <c r="F15" s="69" t="s">
        <v>475</v>
      </c>
      <c r="G15" s="69" t="s">
        <v>212</v>
      </c>
      <c r="H15" s="69" t="s">
        <v>272</v>
      </c>
      <c r="I15" s="69" t="s">
        <v>425</v>
      </c>
      <c r="J15" s="69" t="s">
        <v>425</v>
      </c>
      <c r="K15" s="69"/>
      <c r="L15" s="69" t="s">
        <v>476</v>
      </c>
      <c r="M15" s="69" t="s">
        <v>40</v>
      </c>
      <c r="N15" s="69" t="s">
        <v>39</v>
      </c>
      <c r="O15" s="69" t="s">
        <v>18</v>
      </c>
      <c r="P15" s="69" t="s">
        <v>429</v>
      </c>
      <c r="Q15" s="70">
        <v>10549</v>
      </c>
      <c r="R15" s="69" t="s">
        <v>444</v>
      </c>
      <c r="S15" s="70">
        <v>7</v>
      </c>
    </row>
    <row r="16" spans="1:28" x14ac:dyDescent="0.2">
      <c r="A16" s="69" t="s">
        <v>477</v>
      </c>
      <c r="B16" s="69" t="s">
        <v>422</v>
      </c>
      <c r="C16" s="69" t="s">
        <v>423</v>
      </c>
      <c r="D16" s="70">
        <v>1</v>
      </c>
      <c r="E16" s="70">
        <v>20.41</v>
      </c>
      <c r="F16" s="69" t="s">
        <v>478</v>
      </c>
      <c r="G16" s="69" t="s">
        <v>287</v>
      </c>
      <c r="H16" s="69" t="s">
        <v>286</v>
      </c>
      <c r="I16" s="69" t="s">
        <v>425</v>
      </c>
      <c r="J16" s="69" t="s">
        <v>425</v>
      </c>
      <c r="K16" s="69"/>
      <c r="L16" s="69" t="s">
        <v>479</v>
      </c>
      <c r="M16" s="69" t="s">
        <v>41</v>
      </c>
      <c r="N16" s="69" t="s">
        <v>39</v>
      </c>
      <c r="O16" s="69" t="s">
        <v>18</v>
      </c>
      <c r="P16" s="69" t="s">
        <v>429</v>
      </c>
      <c r="Q16" s="70">
        <v>10549</v>
      </c>
      <c r="R16" s="69" t="s">
        <v>440</v>
      </c>
      <c r="S16" s="70">
        <v>8</v>
      </c>
    </row>
    <row r="17" spans="1:19" x14ac:dyDescent="0.2">
      <c r="A17" s="69" t="s">
        <v>480</v>
      </c>
      <c r="B17" s="69" t="s">
        <v>422</v>
      </c>
      <c r="C17" s="69" t="s">
        <v>423</v>
      </c>
      <c r="D17" s="70">
        <v>1</v>
      </c>
      <c r="E17" s="70">
        <v>13.61</v>
      </c>
      <c r="F17" s="69" t="s">
        <v>481</v>
      </c>
      <c r="G17" s="69" t="s">
        <v>288</v>
      </c>
      <c r="H17" s="69" t="s">
        <v>286</v>
      </c>
      <c r="I17" s="69" t="s">
        <v>425</v>
      </c>
      <c r="J17" s="69" t="s">
        <v>425</v>
      </c>
      <c r="K17" s="69"/>
      <c r="L17" s="69" t="s">
        <v>482</v>
      </c>
      <c r="M17" s="69" t="s">
        <v>42</v>
      </c>
      <c r="N17" s="69" t="s">
        <v>28</v>
      </c>
      <c r="O17" s="69" t="s">
        <v>18</v>
      </c>
      <c r="P17" s="69" t="s">
        <v>429</v>
      </c>
      <c r="Q17" s="70">
        <v>10549</v>
      </c>
      <c r="R17" s="69" t="s">
        <v>452</v>
      </c>
      <c r="S17" s="70">
        <v>8</v>
      </c>
    </row>
    <row r="18" spans="1:19" x14ac:dyDescent="0.2">
      <c r="A18" s="69" t="s">
        <v>483</v>
      </c>
      <c r="B18" s="69" t="s">
        <v>422</v>
      </c>
      <c r="C18" s="69" t="s">
        <v>423</v>
      </c>
      <c r="D18" s="70">
        <v>1</v>
      </c>
      <c r="E18" s="70">
        <v>20.41</v>
      </c>
      <c r="F18" s="69" t="s">
        <v>484</v>
      </c>
      <c r="G18" s="69" t="s">
        <v>138</v>
      </c>
      <c r="H18" s="69" t="s">
        <v>270</v>
      </c>
      <c r="I18" s="69" t="s">
        <v>425</v>
      </c>
      <c r="J18" s="69" t="s">
        <v>425</v>
      </c>
      <c r="K18" s="69"/>
      <c r="L18" s="69" t="s">
        <v>485</v>
      </c>
      <c r="M18" s="69" t="s">
        <v>43</v>
      </c>
      <c r="N18" s="69" t="s">
        <v>28</v>
      </c>
      <c r="O18" s="69" t="s">
        <v>18</v>
      </c>
      <c r="P18" s="69" t="s">
        <v>429</v>
      </c>
      <c r="Q18" s="70">
        <v>10549</v>
      </c>
      <c r="R18" s="69" t="s">
        <v>444</v>
      </c>
      <c r="S18" s="70">
        <v>9</v>
      </c>
    </row>
    <row r="19" spans="1:19" x14ac:dyDescent="0.2">
      <c r="A19" s="69" t="s">
        <v>486</v>
      </c>
      <c r="B19" s="69" t="s">
        <v>422</v>
      </c>
      <c r="C19" s="69" t="s">
        <v>423</v>
      </c>
      <c r="D19" s="70">
        <v>1</v>
      </c>
      <c r="E19" s="70">
        <v>27.22</v>
      </c>
      <c r="F19" s="69" t="s">
        <v>487</v>
      </c>
      <c r="G19" s="69" t="s">
        <v>195</v>
      </c>
      <c r="H19" s="69" t="s">
        <v>271</v>
      </c>
      <c r="I19" s="69" t="s">
        <v>425</v>
      </c>
      <c r="J19" s="69" t="s">
        <v>425</v>
      </c>
      <c r="K19" s="69"/>
      <c r="L19" s="69" t="s">
        <v>488</v>
      </c>
      <c r="M19" s="69" t="s">
        <v>44</v>
      </c>
      <c r="N19" s="69" t="s">
        <v>28</v>
      </c>
      <c r="O19" s="69" t="s">
        <v>18</v>
      </c>
      <c r="P19" s="69" t="s">
        <v>429</v>
      </c>
      <c r="Q19" s="70">
        <v>10509</v>
      </c>
      <c r="R19" s="69" t="s">
        <v>489</v>
      </c>
      <c r="S19" s="70">
        <v>10</v>
      </c>
    </row>
    <row r="20" spans="1:19" x14ac:dyDescent="0.2">
      <c r="A20" s="69" t="s">
        <v>490</v>
      </c>
      <c r="B20" s="69" t="s">
        <v>422</v>
      </c>
      <c r="C20" s="69" t="s">
        <v>423</v>
      </c>
      <c r="D20" s="70">
        <v>1</v>
      </c>
      <c r="E20" s="70">
        <v>20.41</v>
      </c>
      <c r="F20" s="69" t="s">
        <v>421</v>
      </c>
      <c r="G20" s="69" t="s">
        <v>120</v>
      </c>
      <c r="H20" s="69" t="s">
        <v>269</v>
      </c>
      <c r="I20" s="69" t="s">
        <v>425</v>
      </c>
      <c r="J20" s="69" t="s">
        <v>425</v>
      </c>
      <c r="K20" s="69"/>
      <c r="L20" s="69" t="s">
        <v>491</v>
      </c>
      <c r="M20" s="69" t="s">
        <v>45</v>
      </c>
      <c r="N20" s="69" t="s">
        <v>28</v>
      </c>
      <c r="O20" s="69" t="s">
        <v>18</v>
      </c>
      <c r="P20" s="69" t="s">
        <v>429</v>
      </c>
      <c r="Q20" s="70">
        <v>10509</v>
      </c>
      <c r="R20" s="69" t="s">
        <v>436</v>
      </c>
      <c r="S20" s="70">
        <v>11</v>
      </c>
    </row>
    <row r="21" spans="1:19" x14ac:dyDescent="0.2">
      <c r="A21" s="69" t="s">
        <v>492</v>
      </c>
      <c r="B21" s="69" t="s">
        <v>422</v>
      </c>
      <c r="C21" s="69" t="s">
        <v>423</v>
      </c>
      <c r="D21" s="70">
        <v>1</v>
      </c>
      <c r="E21" s="70">
        <v>60.32</v>
      </c>
      <c r="F21" s="69" t="s">
        <v>493</v>
      </c>
      <c r="G21" s="69" t="s">
        <v>122</v>
      </c>
      <c r="H21" s="69" t="s">
        <v>269</v>
      </c>
      <c r="I21" s="69" t="s">
        <v>425</v>
      </c>
      <c r="J21" s="69" t="s">
        <v>425</v>
      </c>
      <c r="K21" s="69"/>
      <c r="L21" s="69" t="s">
        <v>494</v>
      </c>
      <c r="M21" s="69" t="s">
        <v>46</v>
      </c>
      <c r="N21" s="69" t="s">
        <v>28</v>
      </c>
      <c r="O21" s="69" t="s">
        <v>18</v>
      </c>
      <c r="P21" s="69" t="s">
        <v>429</v>
      </c>
      <c r="Q21" s="70">
        <v>10549</v>
      </c>
      <c r="R21" s="69" t="s">
        <v>495</v>
      </c>
      <c r="S21" s="70">
        <v>12</v>
      </c>
    </row>
    <row r="22" spans="1:19" x14ac:dyDescent="0.2">
      <c r="A22" s="69" t="s">
        <v>496</v>
      </c>
      <c r="B22" s="69" t="s">
        <v>422</v>
      </c>
      <c r="C22" s="69" t="s">
        <v>423</v>
      </c>
      <c r="D22" s="70">
        <v>1</v>
      </c>
      <c r="E22" s="70">
        <v>27.22</v>
      </c>
      <c r="F22" s="69" t="s">
        <v>497</v>
      </c>
      <c r="G22" s="69" t="s">
        <v>248</v>
      </c>
      <c r="H22" s="69" t="s">
        <v>274</v>
      </c>
      <c r="I22" s="69" t="s">
        <v>425</v>
      </c>
      <c r="J22" s="69" t="s">
        <v>425</v>
      </c>
      <c r="K22" s="69"/>
      <c r="L22" s="69" t="s">
        <v>498</v>
      </c>
      <c r="M22" s="69" t="s">
        <v>47</v>
      </c>
      <c r="N22" s="69" t="s">
        <v>28</v>
      </c>
      <c r="O22" s="69" t="s">
        <v>18</v>
      </c>
      <c r="P22" s="69" t="s">
        <v>429</v>
      </c>
      <c r="Q22" s="70">
        <v>10549</v>
      </c>
      <c r="R22" s="69" t="s">
        <v>495</v>
      </c>
      <c r="S22" s="70">
        <v>13</v>
      </c>
    </row>
    <row r="23" spans="1:19" x14ac:dyDescent="0.2">
      <c r="A23" s="69" t="s">
        <v>499</v>
      </c>
      <c r="B23" s="69" t="s">
        <v>422</v>
      </c>
      <c r="C23" s="69" t="s">
        <v>423</v>
      </c>
      <c r="D23" s="70">
        <v>1</v>
      </c>
      <c r="E23" s="70">
        <v>20.41</v>
      </c>
      <c r="F23" s="69" t="s">
        <v>497</v>
      </c>
      <c r="G23" s="69" t="s">
        <v>249</v>
      </c>
      <c r="H23" s="69" t="s">
        <v>274</v>
      </c>
      <c r="I23" s="69" t="s">
        <v>425</v>
      </c>
      <c r="J23" s="69" t="s">
        <v>425</v>
      </c>
      <c r="K23" s="69"/>
      <c r="L23" s="69" t="s">
        <v>500</v>
      </c>
      <c r="M23" s="69" t="s">
        <v>48</v>
      </c>
      <c r="N23" s="69" t="s">
        <v>28</v>
      </c>
      <c r="O23" s="69" t="s">
        <v>18</v>
      </c>
      <c r="P23" s="69" t="s">
        <v>429</v>
      </c>
      <c r="Q23" s="70">
        <v>10549</v>
      </c>
      <c r="R23" s="69" t="s">
        <v>495</v>
      </c>
      <c r="S23" s="70">
        <v>14</v>
      </c>
    </row>
    <row r="24" spans="1:19" x14ac:dyDescent="0.2">
      <c r="A24" s="69" t="s">
        <v>501</v>
      </c>
      <c r="B24" s="69" t="s">
        <v>422</v>
      </c>
      <c r="C24" s="69" t="s">
        <v>423</v>
      </c>
      <c r="D24" s="70">
        <v>1</v>
      </c>
      <c r="E24" s="70">
        <v>22.68</v>
      </c>
      <c r="F24" s="69" t="s">
        <v>502</v>
      </c>
      <c r="G24" s="69" t="s">
        <v>250</v>
      </c>
      <c r="H24" s="69" t="s">
        <v>274</v>
      </c>
      <c r="I24" s="69" t="s">
        <v>425</v>
      </c>
      <c r="J24" s="69" t="s">
        <v>425</v>
      </c>
      <c r="K24" s="69"/>
      <c r="L24" s="69" t="s">
        <v>503</v>
      </c>
      <c r="M24" s="69" t="s">
        <v>49</v>
      </c>
      <c r="N24" s="69" t="s">
        <v>50</v>
      </c>
      <c r="O24" s="69" t="s">
        <v>18</v>
      </c>
      <c r="P24" s="69" t="s">
        <v>429</v>
      </c>
      <c r="Q24" s="70">
        <v>10507</v>
      </c>
      <c r="R24" s="69" t="s">
        <v>504</v>
      </c>
      <c r="S24" s="70">
        <v>15</v>
      </c>
    </row>
    <row r="25" spans="1:19" x14ac:dyDescent="0.2">
      <c r="A25" s="69" t="s">
        <v>505</v>
      </c>
      <c r="B25" s="69" t="s">
        <v>422</v>
      </c>
      <c r="C25" s="69" t="s">
        <v>423</v>
      </c>
      <c r="D25" s="70">
        <v>1</v>
      </c>
      <c r="E25" s="70">
        <v>20.41</v>
      </c>
      <c r="F25" s="69" t="s">
        <v>507</v>
      </c>
      <c r="G25" s="69" t="s">
        <v>196</v>
      </c>
      <c r="H25" s="69" t="s">
        <v>271</v>
      </c>
      <c r="I25" s="69" t="s">
        <v>425</v>
      </c>
      <c r="J25" s="69" t="s">
        <v>425</v>
      </c>
      <c r="K25" s="69"/>
      <c r="L25" s="69" t="s">
        <v>506</v>
      </c>
      <c r="M25" s="69" t="s">
        <v>51</v>
      </c>
      <c r="N25" s="69" t="s">
        <v>28</v>
      </c>
      <c r="O25" s="69" t="s">
        <v>18</v>
      </c>
      <c r="P25" s="69" t="s">
        <v>429</v>
      </c>
      <c r="Q25" s="70">
        <v>10549</v>
      </c>
      <c r="R25" s="69" t="s">
        <v>508</v>
      </c>
      <c r="S25" s="70">
        <v>16</v>
      </c>
    </row>
    <row r="26" spans="1:19" x14ac:dyDescent="0.2">
      <c r="A26" s="69" t="s">
        <v>509</v>
      </c>
      <c r="B26" s="69" t="s">
        <v>422</v>
      </c>
      <c r="C26" s="69" t="s">
        <v>423</v>
      </c>
      <c r="D26" s="70">
        <v>1</v>
      </c>
      <c r="E26" s="70">
        <v>20.41</v>
      </c>
      <c r="F26" s="69" t="s">
        <v>510</v>
      </c>
      <c r="G26" s="69" t="s">
        <v>197</v>
      </c>
      <c r="H26" s="69" t="s">
        <v>271</v>
      </c>
      <c r="I26" s="69" t="s">
        <v>425</v>
      </c>
      <c r="J26" s="69" t="s">
        <v>425</v>
      </c>
      <c r="K26" s="69"/>
      <c r="L26" s="69" t="s">
        <v>511</v>
      </c>
      <c r="M26" s="69" t="s">
        <v>52</v>
      </c>
      <c r="N26" s="69" t="s">
        <v>28</v>
      </c>
      <c r="O26" s="69" t="s">
        <v>18</v>
      </c>
      <c r="P26" s="69" t="s">
        <v>429</v>
      </c>
      <c r="Q26" s="70">
        <v>10509</v>
      </c>
      <c r="R26" s="69" t="s">
        <v>512</v>
      </c>
      <c r="S26" s="70">
        <v>16</v>
      </c>
    </row>
    <row r="27" spans="1:19" x14ac:dyDescent="0.2">
      <c r="A27" s="69" t="s">
        <v>513</v>
      </c>
      <c r="B27" s="69" t="s">
        <v>422</v>
      </c>
      <c r="C27" s="69" t="s">
        <v>423</v>
      </c>
      <c r="D27" s="70">
        <v>1</v>
      </c>
      <c r="E27" s="70">
        <v>13.61</v>
      </c>
      <c r="F27" s="69" t="s">
        <v>514</v>
      </c>
      <c r="G27" s="69" t="s">
        <v>214</v>
      </c>
      <c r="H27" s="69" t="s">
        <v>272</v>
      </c>
      <c r="I27" s="69" t="s">
        <v>425</v>
      </c>
      <c r="J27" s="69" t="s">
        <v>425</v>
      </c>
      <c r="K27" s="69"/>
      <c r="L27" s="69" t="s">
        <v>515</v>
      </c>
      <c r="M27" s="69" t="s">
        <v>53</v>
      </c>
      <c r="N27" s="69" t="s">
        <v>26</v>
      </c>
      <c r="O27" s="69" t="s">
        <v>18</v>
      </c>
      <c r="P27" s="69" t="s">
        <v>429</v>
      </c>
      <c r="Q27" s="70">
        <v>10509</v>
      </c>
      <c r="R27" s="69" t="s">
        <v>516</v>
      </c>
      <c r="S27" s="70">
        <v>17</v>
      </c>
    </row>
    <row r="28" spans="1:19" x14ac:dyDescent="0.2">
      <c r="A28" s="69" t="s">
        <v>517</v>
      </c>
      <c r="B28" s="69" t="s">
        <v>422</v>
      </c>
      <c r="C28" s="69" t="s">
        <v>423</v>
      </c>
      <c r="D28" s="70">
        <v>1</v>
      </c>
      <c r="E28" s="70">
        <v>20.41</v>
      </c>
      <c r="F28" s="69" t="s">
        <v>518</v>
      </c>
      <c r="G28" s="69" t="s">
        <v>260</v>
      </c>
      <c r="H28" s="69" t="s">
        <v>275</v>
      </c>
      <c r="I28" s="69" t="s">
        <v>425</v>
      </c>
      <c r="J28" s="69" t="s">
        <v>425</v>
      </c>
      <c r="K28" s="69"/>
      <c r="L28" s="69" t="s">
        <v>519</v>
      </c>
      <c r="M28" s="69" t="s">
        <v>54</v>
      </c>
      <c r="N28" s="69" t="s">
        <v>28</v>
      </c>
      <c r="O28" s="69" t="s">
        <v>18</v>
      </c>
      <c r="P28" s="69" t="s">
        <v>429</v>
      </c>
      <c r="Q28" s="70">
        <v>10549</v>
      </c>
      <c r="R28" s="69" t="s">
        <v>520</v>
      </c>
      <c r="S28" s="70">
        <v>17</v>
      </c>
    </row>
    <row r="29" spans="1:19" x14ac:dyDescent="0.2">
      <c r="A29" s="69" t="s">
        <v>521</v>
      </c>
      <c r="B29" s="69" t="s">
        <v>422</v>
      </c>
      <c r="C29" s="69" t="s">
        <v>423</v>
      </c>
      <c r="D29" s="70">
        <v>1</v>
      </c>
      <c r="E29" s="70">
        <v>20.41</v>
      </c>
      <c r="F29" s="69" t="s">
        <v>522</v>
      </c>
      <c r="G29" s="69" t="s">
        <v>139</v>
      </c>
      <c r="H29" s="69" t="s">
        <v>270</v>
      </c>
      <c r="I29" s="69" t="s">
        <v>425</v>
      </c>
      <c r="J29" s="69" t="s">
        <v>425</v>
      </c>
      <c r="K29" s="69"/>
      <c r="L29" s="69" t="s">
        <v>523</v>
      </c>
      <c r="M29" s="69" t="s">
        <v>55</v>
      </c>
      <c r="N29" s="69" t="s">
        <v>56</v>
      </c>
      <c r="O29" s="69" t="s">
        <v>18</v>
      </c>
      <c r="P29" s="69" t="s">
        <v>429</v>
      </c>
      <c r="Q29" s="70">
        <v>10536</v>
      </c>
      <c r="R29" s="69" t="s">
        <v>524</v>
      </c>
      <c r="S29" s="70">
        <v>18</v>
      </c>
    </row>
    <row r="30" spans="1:19" x14ac:dyDescent="0.2">
      <c r="A30" s="69" t="s">
        <v>525</v>
      </c>
      <c r="B30" s="69" t="s">
        <v>422</v>
      </c>
      <c r="C30" s="69" t="s">
        <v>423</v>
      </c>
      <c r="D30" s="70">
        <v>1</v>
      </c>
      <c r="E30" s="70">
        <v>20.41</v>
      </c>
      <c r="F30" s="69" t="s">
        <v>526</v>
      </c>
      <c r="G30" s="69" t="s">
        <v>140</v>
      </c>
      <c r="H30" s="69" t="s">
        <v>270</v>
      </c>
      <c r="I30" s="69" t="s">
        <v>425</v>
      </c>
      <c r="J30" s="69" t="s">
        <v>425</v>
      </c>
      <c r="K30" s="69"/>
      <c r="L30" s="69" t="s">
        <v>527</v>
      </c>
      <c r="M30" s="69" t="s">
        <v>57</v>
      </c>
      <c r="N30" s="69" t="s">
        <v>28</v>
      </c>
      <c r="O30" s="69" t="s">
        <v>18</v>
      </c>
      <c r="P30" s="69" t="s">
        <v>429</v>
      </c>
      <c r="Q30" s="70">
        <v>10549</v>
      </c>
      <c r="R30" s="69" t="s">
        <v>528</v>
      </c>
      <c r="S30" s="70">
        <v>18</v>
      </c>
    </row>
    <row r="31" spans="1:19" x14ac:dyDescent="0.2">
      <c r="A31" s="69" t="s">
        <v>529</v>
      </c>
      <c r="B31" s="69" t="s">
        <v>422</v>
      </c>
      <c r="C31" s="69" t="s">
        <v>423</v>
      </c>
      <c r="D31" s="70">
        <v>1</v>
      </c>
      <c r="E31" s="70">
        <v>20.41</v>
      </c>
      <c r="F31" s="69" t="s">
        <v>530</v>
      </c>
      <c r="G31" s="69" t="s">
        <v>141</v>
      </c>
      <c r="H31" s="69" t="s">
        <v>270</v>
      </c>
      <c r="I31" s="69" t="s">
        <v>425</v>
      </c>
      <c r="J31" s="69" t="s">
        <v>425</v>
      </c>
      <c r="K31" s="69"/>
      <c r="L31" s="69" t="s">
        <v>531</v>
      </c>
      <c r="M31" s="69" t="s">
        <v>58</v>
      </c>
      <c r="N31" s="69" t="s">
        <v>26</v>
      </c>
      <c r="O31" s="69" t="s">
        <v>18</v>
      </c>
      <c r="P31" s="69" t="s">
        <v>429</v>
      </c>
      <c r="Q31" s="70">
        <v>10509</v>
      </c>
      <c r="R31" s="69" t="s">
        <v>532</v>
      </c>
      <c r="S31" s="70">
        <v>19</v>
      </c>
    </row>
    <row r="32" spans="1:19" x14ac:dyDescent="0.2">
      <c r="A32" s="69" t="s">
        <v>533</v>
      </c>
      <c r="B32" s="69" t="s">
        <v>422</v>
      </c>
      <c r="C32" s="69" t="s">
        <v>423</v>
      </c>
      <c r="D32" s="70">
        <v>1</v>
      </c>
      <c r="E32" s="70">
        <v>13.61</v>
      </c>
      <c r="F32" s="69" t="s">
        <v>534</v>
      </c>
      <c r="G32" s="69" t="s">
        <v>142</v>
      </c>
      <c r="H32" s="69" t="s">
        <v>270</v>
      </c>
      <c r="I32" s="69" t="s">
        <v>425</v>
      </c>
      <c r="J32" s="69" t="s">
        <v>425</v>
      </c>
      <c r="K32" s="69"/>
      <c r="L32" s="69" t="s">
        <v>535</v>
      </c>
      <c r="M32" s="69" t="s">
        <v>59</v>
      </c>
      <c r="N32" s="69" t="s">
        <v>56</v>
      </c>
      <c r="O32" s="69" t="s">
        <v>18</v>
      </c>
      <c r="P32" s="69" t="s">
        <v>429</v>
      </c>
      <c r="Q32" s="70">
        <v>10536</v>
      </c>
      <c r="R32" s="69" t="s">
        <v>536</v>
      </c>
      <c r="S32" s="70">
        <v>19</v>
      </c>
    </row>
    <row r="33" spans="1:19" x14ac:dyDescent="0.2">
      <c r="A33" s="69" t="s">
        <v>537</v>
      </c>
      <c r="B33" s="69" t="s">
        <v>422</v>
      </c>
      <c r="C33" s="69" t="s">
        <v>423</v>
      </c>
      <c r="D33" s="70">
        <v>1</v>
      </c>
      <c r="E33" s="70">
        <v>20.41</v>
      </c>
      <c r="F33" s="69" t="s">
        <v>538</v>
      </c>
      <c r="G33" s="69" t="s">
        <v>124</v>
      </c>
      <c r="H33" s="69" t="s">
        <v>269</v>
      </c>
      <c r="I33" s="69" t="s">
        <v>425</v>
      </c>
      <c r="J33" s="69" t="s">
        <v>425</v>
      </c>
      <c r="K33" s="69"/>
      <c r="L33" s="69" t="s">
        <v>539</v>
      </c>
      <c r="M33" s="69" t="s">
        <v>60</v>
      </c>
      <c r="N33" s="69" t="s">
        <v>26</v>
      </c>
      <c r="O33" s="69" t="s">
        <v>18</v>
      </c>
      <c r="P33" s="69" t="s">
        <v>429</v>
      </c>
      <c r="Q33" s="70">
        <v>10509</v>
      </c>
      <c r="R33" s="69" t="s">
        <v>540</v>
      </c>
      <c r="S33" s="70">
        <v>20</v>
      </c>
    </row>
    <row r="34" spans="1:19" x14ac:dyDescent="0.2">
      <c r="A34" s="69" t="s">
        <v>541</v>
      </c>
      <c r="B34" s="69" t="s">
        <v>422</v>
      </c>
      <c r="C34" s="69" t="s">
        <v>423</v>
      </c>
      <c r="D34" s="70">
        <v>1</v>
      </c>
      <c r="E34" s="70">
        <v>4.54</v>
      </c>
      <c r="F34" s="69" t="s">
        <v>543</v>
      </c>
      <c r="G34" s="69" t="s">
        <v>125</v>
      </c>
      <c r="H34" s="69" t="s">
        <v>269</v>
      </c>
      <c r="I34" s="69" t="s">
        <v>425</v>
      </c>
      <c r="J34" s="69" t="s">
        <v>425</v>
      </c>
      <c r="K34" s="69"/>
      <c r="L34" s="69" t="s">
        <v>542</v>
      </c>
      <c r="M34" s="69" t="s">
        <v>61</v>
      </c>
      <c r="N34" s="69" t="s">
        <v>28</v>
      </c>
      <c r="O34" s="69" t="s">
        <v>18</v>
      </c>
      <c r="P34" s="69" t="s">
        <v>429</v>
      </c>
      <c r="Q34" s="70">
        <v>10549</v>
      </c>
      <c r="R34" s="69" t="s">
        <v>544</v>
      </c>
      <c r="S34" s="70">
        <v>20</v>
      </c>
    </row>
    <row r="35" spans="1:19" x14ac:dyDescent="0.2">
      <c r="A35" s="69" t="s">
        <v>545</v>
      </c>
      <c r="B35" s="69" t="s">
        <v>422</v>
      </c>
      <c r="C35" s="69" t="s">
        <v>423</v>
      </c>
      <c r="D35" s="70">
        <v>1</v>
      </c>
      <c r="E35" s="70">
        <v>19.96</v>
      </c>
      <c r="F35" s="69" t="s">
        <v>546</v>
      </c>
      <c r="G35" s="69" t="s">
        <v>126</v>
      </c>
      <c r="H35" s="69" t="s">
        <v>269</v>
      </c>
      <c r="I35" s="69" t="s">
        <v>425</v>
      </c>
      <c r="J35" s="69" t="s">
        <v>425</v>
      </c>
      <c r="K35" s="69"/>
      <c r="L35" s="69" t="s">
        <v>547</v>
      </c>
      <c r="M35" s="69" t="s">
        <v>62</v>
      </c>
      <c r="N35" s="69" t="s">
        <v>28</v>
      </c>
      <c r="O35" s="69" t="s">
        <v>18</v>
      </c>
      <c r="P35" s="69" t="s">
        <v>429</v>
      </c>
      <c r="Q35" s="70">
        <v>10549</v>
      </c>
      <c r="R35" s="69" t="s">
        <v>548</v>
      </c>
      <c r="S35" s="70">
        <v>21</v>
      </c>
    </row>
    <row r="36" spans="1:19" x14ac:dyDescent="0.2">
      <c r="A36" s="69" t="s">
        <v>549</v>
      </c>
      <c r="B36" s="69" t="s">
        <v>422</v>
      </c>
      <c r="C36" s="69" t="s">
        <v>423</v>
      </c>
      <c r="D36" s="70">
        <v>1</v>
      </c>
      <c r="E36" s="70">
        <v>13.61</v>
      </c>
      <c r="F36" s="69" t="s">
        <v>550</v>
      </c>
      <c r="G36" s="69" t="s">
        <v>127</v>
      </c>
      <c r="H36" s="69" t="s">
        <v>269</v>
      </c>
      <c r="I36" s="69" t="s">
        <v>425</v>
      </c>
      <c r="J36" s="69" t="s">
        <v>425</v>
      </c>
      <c r="K36" s="69"/>
      <c r="L36" s="69" t="s">
        <v>551</v>
      </c>
      <c r="M36" s="69" t="s">
        <v>63</v>
      </c>
      <c r="N36" s="69" t="s">
        <v>64</v>
      </c>
      <c r="O36" s="69" t="s">
        <v>18</v>
      </c>
      <c r="P36" s="69" t="s">
        <v>429</v>
      </c>
      <c r="Q36" s="70">
        <v>10514</v>
      </c>
      <c r="R36" s="69" t="s">
        <v>495</v>
      </c>
      <c r="S36" s="70">
        <v>21</v>
      </c>
    </row>
    <row r="37" spans="1:19" x14ac:dyDescent="0.2">
      <c r="A37" s="69" t="s">
        <v>552</v>
      </c>
      <c r="B37" s="69" t="s">
        <v>422</v>
      </c>
      <c r="C37" s="69" t="s">
        <v>423</v>
      </c>
      <c r="D37" s="70">
        <v>1</v>
      </c>
      <c r="E37" s="70">
        <v>4.08</v>
      </c>
      <c r="F37" s="69" t="s">
        <v>553</v>
      </c>
      <c r="G37" s="69" t="s">
        <v>128</v>
      </c>
      <c r="H37" s="69" t="s">
        <v>269</v>
      </c>
      <c r="I37" s="69" t="s">
        <v>425</v>
      </c>
      <c r="J37" s="69" t="s">
        <v>425</v>
      </c>
      <c r="K37" s="69"/>
      <c r="L37" s="69" t="s">
        <v>554</v>
      </c>
      <c r="M37" s="69" t="s">
        <v>65</v>
      </c>
      <c r="N37" s="69" t="s">
        <v>28</v>
      </c>
      <c r="O37" s="69" t="s">
        <v>18</v>
      </c>
      <c r="P37" s="69" t="s">
        <v>429</v>
      </c>
      <c r="Q37" s="70">
        <v>10549</v>
      </c>
      <c r="R37" s="69" t="s">
        <v>544</v>
      </c>
      <c r="S37" s="70">
        <v>22</v>
      </c>
    </row>
    <row r="38" spans="1:19" x14ac:dyDescent="0.2">
      <c r="A38" s="69" t="s">
        <v>555</v>
      </c>
      <c r="B38" s="69" t="s">
        <v>422</v>
      </c>
      <c r="C38" s="69" t="s">
        <v>423</v>
      </c>
      <c r="D38" s="70">
        <v>1</v>
      </c>
      <c r="E38" s="70">
        <v>7.71</v>
      </c>
      <c r="F38" s="69" t="s">
        <v>556</v>
      </c>
      <c r="G38" s="69" t="s">
        <v>129</v>
      </c>
      <c r="H38" s="69" t="s">
        <v>269</v>
      </c>
      <c r="I38" s="69" t="s">
        <v>425</v>
      </c>
      <c r="J38" s="69" t="s">
        <v>425</v>
      </c>
      <c r="K38" s="69"/>
      <c r="L38" s="69" t="s">
        <v>557</v>
      </c>
      <c r="M38" s="69" t="s">
        <v>66</v>
      </c>
      <c r="N38" s="69" t="s">
        <v>22</v>
      </c>
      <c r="O38" s="69" t="s">
        <v>18</v>
      </c>
      <c r="P38" s="69" t="s">
        <v>429</v>
      </c>
      <c r="Q38" s="70">
        <v>10080</v>
      </c>
      <c r="R38" s="69" t="s">
        <v>544</v>
      </c>
      <c r="S38" s="70">
        <v>22</v>
      </c>
    </row>
    <row r="39" spans="1:19" x14ac:dyDescent="0.2">
      <c r="A39" s="69" t="s">
        <v>558</v>
      </c>
      <c r="B39" s="69" t="s">
        <v>422</v>
      </c>
      <c r="C39" s="69" t="s">
        <v>423</v>
      </c>
      <c r="D39" s="70">
        <v>1</v>
      </c>
      <c r="E39" s="70">
        <v>4.08</v>
      </c>
      <c r="F39" s="69" t="s">
        <v>559</v>
      </c>
      <c r="G39" s="69" t="s">
        <v>130</v>
      </c>
      <c r="H39" s="69" t="s">
        <v>269</v>
      </c>
      <c r="I39" s="69" t="s">
        <v>425</v>
      </c>
      <c r="J39" s="69" t="s">
        <v>425</v>
      </c>
      <c r="K39" s="69"/>
      <c r="L39" s="69" t="s">
        <v>560</v>
      </c>
      <c r="M39" s="69" t="s">
        <v>67</v>
      </c>
      <c r="N39" s="69" t="s">
        <v>26</v>
      </c>
      <c r="O39" s="69" t="s">
        <v>18</v>
      </c>
      <c r="P39" s="69" t="s">
        <v>429</v>
      </c>
      <c r="Q39" s="70">
        <v>10509</v>
      </c>
      <c r="R39" s="69" t="s">
        <v>544</v>
      </c>
      <c r="S39" s="70">
        <v>23</v>
      </c>
    </row>
    <row r="40" spans="1:19" x14ac:dyDescent="0.2">
      <c r="A40" s="69" t="s">
        <v>561</v>
      </c>
      <c r="B40" s="69" t="s">
        <v>422</v>
      </c>
      <c r="C40" s="69" t="s">
        <v>423</v>
      </c>
      <c r="D40" s="70">
        <v>1</v>
      </c>
      <c r="E40" s="70">
        <v>6.35</v>
      </c>
      <c r="F40" s="69" t="s">
        <v>562</v>
      </c>
      <c r="G40" s="69" t="s">
        <v>131</v>
      </c>
      <c r="H40" s="69" t="s">
        <v>269</v>
      </c>
      <c r="I40" s="69" t="s">
        <v>425</v>
      </c>
      <c r="J40" s="69" t="s">
        <v>425</v>
      </c>
      <c r="K40" s="69"/>
      <c r="L40" s="69" t="s">
        <v>563</v>
      </c>
      <c r="M40" s="69" t="s">
        <v>68</v>
      </c>
      <c r="N40" s="69" t="s">
        <v>28</v>
      </c>
      <c r="O40" s="69" t="s">
        <v>18</v>
      </c>
      <c r="P40" s="69" t="s">
        <v>429</v>
      </c>
      <c r="Q40" s="70">
        <v>10549</v>
      </c>
      <c r="R40" s="69" t="s">
        <v>544</v>
      </c>
      <c r="S40" s="70">
        <v>23</v>
      </c>
    </row>
    <row r="41" spans="1:19" x14ac:dyDescent="0.2">
      <c r="A41" s="69" t="s">
        <v>564</v>
      </c>
      <c r="B41" s="69" t="s">
        <v>422</v>
      </c>
      <c r="C41" s="69" t="s">
        <v>423</v>
      </c>
      <c r="D41" s="70">
        <v>1</v>
      </c>
      <c r="E41" s="70">
        <v>13.61</v>
      </c>
      <c r="F41" s="69" t="s">
        <v>565</v>
      </c>
      <c r="G41" s="69" t="s">
        <v>132</v>
      </c>
      <c r="H41" s="69" t="s">
        <v>269</v>
      </c>
      <c r="I41" s="69" t="s">
        <v>425</v>
      </c>
      <c r="J41" s="69" t="s">
        <v>425</v>
      </c>
      <c r="K41" s="69"/>
      <c r="L41" s="69" t="s">
        <v>566</v>
      </c>
      <c r="M41" s="69" t="s">
        <v>69</v>
      </c>
      <c r="N41" s="69" t="s">
        <v>70</v>
      </c>
      <c r="O41" s="69" t="s">
        <v>18</v>
      </c>
      <c r="P41" s="69" t="s">
        <v>429</v>
      </c>
      <c r="Q41" s="70">
        <v>10009</v>
      </c>
      <c r="R41" s="69" t="s">
        <v>544</v>
      </c>
      <c r="S41" s="70">
        <v>24</v>
      </c>
    </row>
    <row r="42" spans="1:19" x14ac:dyDescent="0.2">
      <c r="A42" s="69" t="s">
        <v>567</v>
      </c>
      <c r="B42" s="69" t="s">
        <v>422</v>
      </c>
      <c r="C42" s="69" t="s">
        <v>423</v>
      </c>
      <c r="D42" s="70">
        <v>1</v>
      </c>
      <c r="E42" s="70">
        <v>7.71</v>
      </c>
      <c r="F42" s="69" t="s">
        <v>568</v>
      </c>
      <c r="G42" s="69" t="s">
        <v>133</v>
      </c>
      <c r="H42" s="69" t="s">
        <v>269</v>
      </c>
      <c r="I42" s="69" t="s">
        <v>425</v>
      </c>
      <c r="J42" s="69" t="s">
        <v>425</v>
      </c>
      <c r="K42" s="69"/>
      <c r="L42" s="69" t="s">
        <v>569</v>
      </c>
      <c r="M42" s="69" t="s">
        <v>71</v>
      </c>
      <c r="N42" s="69" t="s">
        <v>70</v>
      </c>
      <c r="O42" s="69" t="s">
        <v>18</v>
      </c>
      <c r="P42" s="69" t="s">
        <v>429</v>
      </c>
      <c r="Q42" s="70">
        <v>10001</v>
      </c>
      <c r="R42" s="69" t="s">
        <v>544</v>
      </c>
      <c r="S42" s="70">
        <v>24</v>
      </c>
    </row>
    <row r="43" spans="1:19" x14ac:dyDescent="0.2">
      <c r="A43" s="69" t="s">
        <v>570</v>
      </c>
      <c r="B43" s="69" t="s">
        <v>422</v>
      </c>
      <c r="C43" s="69" t="s">
        <v>423</v>
      </c>
      <c r="D43" s="70">
        <v>1</v>
      </c>
      <c r="E43" s="70">
        <v>29.48</v>
      </c>
      <c r="F43" s="69" t="s">
        <v>571</v>
      </c>
      <c r="G43" s="69" t="s">
        <v>134</v>
      </c>
      <c r="H43" s="69" t="s">
        <v>269</v>
      </c>
      <c r="I43" s="69" t="s">
        <v>425</v>
      </c>
      <c r="J43" s="69" t="s">
        <v>425</v>
      </c>
      <c r="K43" s="69"/>
      <c r="L43" s="69" t="s">
        <v>572</v>
      </c>
      <c r="M43" s="69" t="s">
        <v>72</v>
      </c>
      <c r="N43" s="69" t="s">
        <v>28</v>
      </c>
      <c r="O43" s="69" t="s">
        <v>18</v>
      </c>
      <c r="P43" s="69" t="s">
        <v>429</v>
      </c>
      <c r="Q43" s="70">
        <v>10549</v>
      </c>
      <c r="R43" s="69" t="s">
        <v>573</v>
      </c>
      <c r="S43" s="70">
        <v>25</v>
      </c>
    </row>
    <row r="44" spans="1:19" x14ac:dyDescent="0.2">
      <c r="A44" s="69" t="s">
        <v>574</v>
      </c>
      <c r="B44" s="69" t="s">
        <v>422</v>
      </c>
      <c r="C44" s="69" t="s">
        <v>423</v>
      </c>
      <c r="D44" s="70">
        <v>1</v>
      </c>
      <c r="E44" s="70">
        <v>29.48</v>
      </c>
      <c r="F44" s="69" t="s">
        <v>575</v>
      </c>
      <c r="G44" s="69" t="s">
        <v>135</v>
      </c>
      <c r="H44" s="69" t="s">
        <v>269</v>
      </c>
      <c r="I44" s="69" t="s">
        <v>425</v>
      </c>
      <c r="J44" s="69" t="s">
        <v>425</v>
      </c>
      <c r="K44" s="69"/>
      <c r="L44" s="69" t="s">
        <v>576</v>
      </c>
      <c r="M44" s="69" t="s">
        <v>73</v>
      </c>
      <c r="N44" s="69" t="s">
        <v>28</v>
      </c>
      <c r="O44" s="69" t="s">
        <v>18</v>
      </c>
      <c r="P44" s="69" t="s">
        <v>429</v>
      </c>
      <c r="Q44" s="70">
        <v>10549</v>
      </c>
      <c r="R44" s="69" t="s">
        <v>573</v>
      </c>
      <c r="S44" s="70">
        <v>26</v>
      </c>
    </row>
    <row r="45" spans="1:19" x14ac:dyDescent="0.2">
      <c r="A45" s="69" t="s">
        <v>577</v>
      </c>
      <c r="B45" s="69" t="s">
        <v>422</v>
      </c>
      <c r="C45" s="69" t="s">
        <v>423</v>
      </c>
      <c r="D45" s="70">
        <v>1</v>
      </c>
      <c r="E45" s="70">
        <v>29.48</v>
      </c>
      <c r="F45" s="69" t="s">
        <v>578</v>
      </c>
      <c r="G45" s="69" t="s">
        <v>136</v>
      </c>
      <c r="H45" s="69" t="s">
        <v>269</v>
      </c>
      <c r="I45" s="69" t="s">
        <v>425</v>
      </c>
      <c r="J45" s="69" t="s">
        <v>425</v>
      </c>
      <c r="K45" s="69"/>
      <c r="L45" s="69" t="s">
        <v>579</v>
      </c>
      <c r="M45" s="69" t="s">
        <v>74</v>
      </c>
      <c r="N45" s="69" t="s">
        <v>28</v>
      </c>
      <c r="O45" s="69" t="s">
        <v>18</v>
      </c>
      <c r="P45" s="69" t="s">
        <v>429</v>
      </c>
      <c r="Q45" s="70">
        <v>10549</v>
      </c>
      <c r="R45" s="69" t="s">
        <v>573</v>
      </c>
      <c r="S45" s="70">
        <v>27</v>
      </c>
    </row>
    <row r="46" spans="1:19" x14ac:dyDescent="0.2">
      <c r="A46" s="69" t="s">
        <v>580</v>
      </c>
      <c r="B46" s="69" t="s">
        <v>422</v>
      </c>
      <c r="C46" s="69" t="s">
        <v>423</v>
      </c>
      <c r="D46" s="70">
        <v>1</v>
      </c>
      <c r="E46" s="70">
        <v>29.48</v>
      </c>
      <c r="F46" s="69" t="s">
        <v>581</v>
      </c>
      <c r="G46" s="69" t="s">
        <v>137</v>
      </c>
      <c r="H46" s="69" t="s">
        <v>269</v>
      </c>
      <c r="I46" s="69" t="s">
        <v>425</v>
      </c>
      <c r="J46" s="69" t="s">
        <v>425</v>
      </c>
      <c r="K46" s="69"/>
      <c r="L46" s="69" t="s">
        <v>582</v>
      </c>
      <c r="M46" s="69" t="s">
        <v>75</v>
      </c>
      <c r="N46" s="69" t="s">
        <v>28</v>
      </c>
      <c r="O46" s="69" t="s">
        <v>18</v>
      </c>
      <c r="P46" s="69" t="s">
        <v>429</v>
      </c>
      <c r="Q46" s="70">
        <v>10549</v>
      </c>
      <c r="R46" s="69" t="s">
        <v>573</v>
      </c>
      <c r="S46" s="70">
        <v>28</v>
      </c>
    </row>
    <row r="47" spans="1:19" x14ac:dyDescent="0.2">
      <c r="A47" s="69" t="s">
        <v>583</v>
      </c>
      <c r="B47" s="69" t="s">
        <v>422</v>
      </c>
      <c r="C47" s="69" t="s">
        <v>423</v>
      </c>
      <c r="D47" s="70">
        <v>1</v>
      </c>
      <c r="E47" s="70">
        <v>27.22</v>
      </c>
      <c r="F47" s="69" t="s">
        <v>584</v>
      </c>
      <c r="G47" s="69" t="s">
        <v>301</v>
      </c>
      <c r="H47" s="69" t="s">
        <v>269</v>
      </c>
      <c r="I47" s="69" t="s">
        <v>425</v>
      </c>
      <c r="J47" s="69" t="s">
        <v>425</v>
      </c>
      <c r="K47" s="69"/>
      <c r="L47" s="69" t="s">
        <v>585</v>
      </c>
      <c r="M47" s="69" t="s">
        <v>76</v>
      </c>
      <c r="N47" s="69" t="s">
        <v>28</v>
      </c>
      <c r="O47" s="69" t="s">
        <v>18</v>
      </c>
      <c r="P47" s="69" t="s">
        <v>429</v>
      </c>
      <c r="Q47" s="70">
        <v>10549</v>
      </c>
      <c r="R47" s="69" t="s">
        <v>573</v>
      </c>
      <c r="S47" s="70">
        <v>29</v>
      </c>
    </row>
    <row r="48" spans="1:19" x14ac:dyDescent="0.2">
      <c r="A48" s="69" t="s">
        <v>586</v>
      </c>
      <c r="B48" s="69" t="s">
        <v>422</v>
      </c>
      <c r="C48" s="69" t="s">
        <v>423</v>
      </c>
      <c r="D48" s="70">
        <v>1</v>
      </c>
      <c r="E48" s="70">
        <v>13.61</v>
      </c>
      <c r="F48" s="69" t="s">
        <v>587</v>
      </c>
      <c r="G48" s="69" t="s">
        <v>302</v>
      </c>
      <c r="H48" s="69" t="s">
        <v>269</v>
      </c>
      <c r="I48" s="69" t="s">
        <v>425</v>
      </c>
      <c r="J48" s="69" t="s">
        <v>425</v>
      </c>
      <c r="K48" s="69"/>
      <c r="L48" s="69" t="s">
        <v>588</v>
      </c>
      <c r="M48" s="69" t="s">
        <v>77</v>
      </c>
      <c r="N48" s="69" t="s">
        <v>50</v>
      </c>
      <c r="O48" s="69" t="s">
        <v>18</v>
      </c>
      <c r="P48" s="69" t="s">
        <v>429</v>
      </c>
      <c r="Q48" s="70">
        <v>10507</v>
      </c>
      <c r="R48" s="69" t="s">
        <v>573</v>
      </c>
      <c r="S48" s="70">
        <v>30</v>
      </c>
    </row>
    <row r="49" spans="1:19" x14ac:dyDescent="0.2">
      <c r="A49" s="69" t="s">
        <v>589</v>
      </c>
      <c r="B49" s="69" t="s">
        <v>422</v>
      </c>
      <c r="C49" s="69" t="s">
        <v>423</v>
      </c>
      <c r="D49" s="70">
        <v>1</v>
      </c>
      <c r="E49" s="70">
        <v>13.61</v>
      </c>
      <c r="F49" s="69" t="s">
        <v>590</v>
      </c>
      <c r="G49" s="69" t="s">
        <v>303</v>
      </c>
      <c r="H49" s="69" t="s">
        <v>269</v>
      </c>
      <c r="I49" s="69" t="s">
        <v>425</v>
      </c>
      <c r="J49" s="69" t="s">
        <v>425</v>
      </c>
      <c r="K49" s="69"/>
      <c r="L49" s="69" t="s">
        <v>591</v>
      </c>
      <c r="M49" s="69" t="s">
        <v>78</v>
      </c>
      <c r="N49" s="69" t="s">
        <v>70</v>
      </c>
      <c r="O49" s="69" t="s">
        <v>18</v>
      </c>
      <c r="P49" s="69" t="s">
        <v>429</v>
      </c>
      <c r="Q49" s="70">
        <v>10080</v>
      </c>
      <c r="R49" s="69" t="s">
        <v>592</v>
      </c>
      <c r="S49" s="70">
        <v>31</v>
      </c>
    </row>
    <row r="50" spans="1:19" x14ac:dyDescent="0.2">
      <c r="A50" s="69" t="s">
        <v>593</v>
      </c>
      <c r="B50" s="69" t="s">
        <v>422</v>
      </c>
      <c r="C50" s="69" t="s">
        <v>423</v>
      </c>
      <c r="D50" s="70">
        <v>1</v>
      </c>
      <c r="E50" s="70">
        <v>13.61</v>
      </c>
      <c r="F50" s="69" t="s">
        <v>594</v>
      </c>
      <c r="G50" s="69" t="s">
        <v>304</v>
      </c>
      <c r="H50" s="69" t="s">
        <v>269</v>
      </c>
      <c r="I50" s="69" t="s">
        <v>425</v>
      </c>
      <c r="J50" s="69" t="s">
        <v>425</v>
      </c>
      <c r="K50" s="69"/>
      <c r="L50" s="69" t="s">
        <v>595</v>
      </c>
      <c r="M50" s="69" t="s">
        <v>79</v>
      </c>
      <c r="N50" s="69" t="s">
        <v>28</v>
      </c>
      <c r="O50" s="69" t="s">
        <v>18</v>
      </c>
      <c r="P50" s="69" t="s">
        <v>429</v>
      </c>
      <c r="Q50" s="70">
        <v>10549</v>
      </c>
      <c r="R50" s="69" t="s">
        <v>592</v>
      </c>
      <c r="S50" s="70">
        <v>32</v>
      </c>
    </row>
    <row r="51" spans="1:19" x14ac:dyDescent="0.2">
      <c r="A51" s="69" t="s">
        <v>596</v>
      </c>
      <c r="B51" s="69" t="s">
        <v>422</v>
      </c>
      <c r="C51" s="69" t="s">
        <v>423</v>
      </c>
      <c r="D51" s="70">
        <v>1</v>
      </c>
      <c r="E51" s="70">
        <v>18.14</v>
      </c>
      <c r="F51" s="69" t="s">
        <v>597</v>
      </c>
      <c r="G51" s="69" t="s">
        <v>305</v>
      </c>
      <c r="H51" s="69" t="s">
        <v>269</v>
      </c>
      <c r="I51" s="69" t="s">
        <v>425</v>
      </c>
      <c r="J51" s="69" t="s">
        <v>425</v>
      </c>
      <c r="K51" s="69"/>
      <c r="L51" s="69" t="s">
        <v>598</v>
      </c>
      <c r="M51" s="69" t="s">
        <v>80</v>
      </c>
      <c r="N51" s="69" t="s">
        <v>28</v>
      </c>
      <c r="O51" s="69" t="s">
        <v>18</v>
      </c>
      <c r="P51" s="69" t="s">
        <v>429</v>
      </c>
      <c r="Q51" s="70">
        <v>10549</v>
      </c>
      <c r="R51" s="69" t="s">
        <v>599</v>
      </c>
      <c r="S51" s="70">
        <v>33</v>
      </c>
    </row>
    <row r="52" spans="1:19" x14ac:dyDescent="0.2">
      <c r="A52" s="69" t="s">
        <v>600</v>
      </c>
      <c r="B52" s="69" t="s">
        <v>422</v>
      </c>
      <c r="C52" s="69" t="s">
        <v>423</v>
      </c>
      <c r="D52" s="70">
        <v>1</v>
      </c>
      <c r="E52" s="70">
        <v>22.68</v>
      </c>
      <c r="F52" s="69" t="s">
        <v>601</v>
      </c>
      <c r="G52" s="69" t="s">
        <v>306</v>
      </c>
      <c r="H52" s="69" t="s">
        <v>269</v>
      </c>
      <c r="I52" s="69" t="s">
        <v>425</v>
      </c>
      <c r="J52" s="69" t="s">
        <v>425</v>
      </c>
      <c r="K52" s="69"/>
      <c r="L52" s="69" t="s">
        <v>602</v>
      </c>
      <c r="M52" s="69" t="s">
        <v>81</v>
      </c>
      <c r="N52" s="69" t="s">
        <v>50</v>
      </c>
      <c r="O52" s="69" t="s">
        <v>18</v>
      </c>
      <c r="P52" s="69" t="s">
        <v>429</v>
      </c>
      <c r="Q52" s="70">
        <v>10509</v>
      </c>
      <c r="R52" s="69" t="s">
        <v>603</v>
      </c>
      <c r="S52" s="70">
        <v>33</v>
      </c>
    </row>
    <row r="53" spans="1:19" x14ac:dyDescent="0.2">
      <c r="A53" s="69" t="s">
        <v>604</v>
      </c>
      <c r="B53" s="69" t="s">
        <v>422</v>
      </c>
      <c r="C53" s="69" t="s">
        <v>423</v>
      </c>
      <c r="D53" s="70">
        <v>1</v>
      </c>
      <c r="E53" s="70">
        <v>29.48</v>
      </c>
      <c r="F53" s="69" t="s">
        <v>605</v>
      </c>
      <c r="G53" s="69" t="s">
        <v>143</v>
      </c>
      <c r="H53" s="69" t="s">
        <v>270</v>
      </c>
      <c r="I53" s="69" t="s">
        <v>425</v>
      </c>
      <c r="J53" s="69" t="s">
        <v>425</v>
      </c>
      <c r="K53" s="69"/>
      <c r="L53" s="69" t="s">
        <v>606</v>
      </c>
      <c r="M53" s="69" t="s">
        <v>82</v>
      </c>
      <c r="N53" s="69" t="s">
        <v>28</v>
      </c>
      <c r="O53" s="69" t="s">
        <v>18</v>
      </c>
      <c r="P53" s="69" t="s">
        <v>429</v>
      </c>
      <c r="Q53" s="70">
        <v>10549</v>
      </c>
      <c r="R53" s="69" t="s">
        <v>573</v>
      </c>
      <c r="S53" s="70">
        <v>34</v>
      </c>
    </row>
    <row r="54" spans="1:19" x14ac:dyDescent="0.2">
      <c r="A54" s="69" t="s">
        <v>607</v>
      </c>
      <c r="B54" s="69" t="s">
        <v>422</v>
      </c>
      <c r="C54" s="69" t="s">
        <v>423</v>
      </c>
      <c r="D54" s="70">
        <v>1</v>
      </c>
      <c r="E54" s="70">
        <v>13.61</v>
      </c>
      <c r="F54" s="69" t="s">
        <v>608</v>
      </c>
      <c r="G54" s="69" t="s">
        <v>144</v>
      </c>
      <c r="H54" s="69" t="s">
        <v>270</v>
      </c>
      <c r="I54" s="69" t="s">
        <v>425</v>
      </c>
      <c r="J54" s="69" t="s">
        <v>425</v>
      </c>
      <c r="K54" s="69"/>
      <c r="L54" s="69" t="s">
        <v>609</v>
      </c>
      <c r="M54" s="69" t="s">
        <v>83</v>
      </c>
      <c r="N54" s="69" t="s">
        <v>28</v>
      </c>
      <c r="O54" s="69" t="s">
        <v>18</v>
      </c>
      <c r="P54" s="69" t="s">
        <v>429</v>
      </c>
      <c r="Q54" s="70">
        <v>10549</v>
      </c>
      <c r="R54" s="69" t="s">
        <v>592</v>
      </c>
      <c r="S54" s="70">
        <v>35</v>
      </c>
    </row>
    <row r="55" spans="1:19" x14ac:dyDescent="0.2">
      <c r="A55" s="69" t="s">
        <v>610</v>
      </c>
      <c r="B55" s="69" t="s">
        <v>422</v>
      </c>
      <c r="C55" s="69" t="s">
        <v>423</v>
      </c>
      <c r="D55" s="70">
        <v>1</v>
      </c>
      <c r="E55" s="70">
        <v>22.68</v>
      </c>
      <c r="F55" s="69" t="s">
        <v>611</v>
      </c>
      <c r="G55" s="69" t="s">
        <v>307</v>
      </c>
      <c r="H55" s="69" t="s">
        <v>269</v>
      </c>
      <c r="I55" s="69" t="s">
        <v>425</v>
      </c>
      <c r="J55" s="69" t="s">
        <v>425</v>
      </c>
      <c r="K55" s="69"/>
      <c r="L55" s="69" t="s">
        <v>612</v>
      </c>
      <c r="M55" s="69" t="s">
        <v>84</v>
      </c>
      <c r="N55" s="69" t="s">
        <v>28</v>
      </c>
      <c r="O55" s="69" t="s">
        <v>18</v>
      </c>
      <c r="P55" s="69" t="s">
        <v>429</v>
      </c>
      <c r="Q55" s="70">
        <v>10549</v>
      </c>
      <c r="R55" s="69" t="s">
        <v>613</v>
      </c>
      <c r="S55" s="70">
        <v>36</v>
      </c>
    </row>
    <row r="56" spans="1:19" x14ac:dyDescent="0.2">
      <c r="A56" s="69" t="s">
        <v>614</v>
      </c>
      <c r="B56" s="69" t="s">
        <v>422</v>
      </c>
      <c r="C56" s="69" t="s">
        <v>423</v>
      </c>
      <c r="D56" s="70">
        <v>1</v>
      </c>
      <c r="E56" s="70">
        <v>13.61</v>
      </c>
      <c r="F56" s="69" t="s">
        <v>615</v>
      </c>
      <c r="G56" s="69" t="s">
        <v>247</v>
      </c>
      <c r="H56" s="69" t="s">
        <v>273</v>
      </c>
      <c r="I56" s="69" t="s">
        <v>425</v>
      </c>
      <c r="J56" s="69" t="s">
        <v>425</v>
      </c>
      <c r="K56" s="69"/>
      <c r="L56" s="69" t="s">
        <v>616</v>
      </c>
      <c r="M56" s="69" t="s">
        <v>85</v>
      </c>
      <c r="N56" s="69" t="s">
        <v>39</v>
      </c>
      <c r="O56" s="69" t="s">
        <v>18</v>
      </c>
      <c r="P56" s="69" t="s">
        <v>429</v>
      </c>
      <c r="Q56" s="70">
        <v>10549</v>
      </c>
      <c r="R56" s="69" t="s">
        <v>617</v>
      </c>
      <c r="S56" s="70">
        <v>36</v>
      </c>
    </row>
    <row r="57" spans="1:19" x14ac:dyDescent="0.2">
      <c r="A57" s="69" t="s">
        <v>618</v>
      </c>
      <c r="B57" s="69" t="s">
        <v>422</v>
      </c>
      <c r="C57" s="69" t="s">
        <v>423</v>
      </c>
      <c r="D57" s="70">
        <v>1</v>
      </c>
      <c r="E57" s="70">
        <v>15.88</v>
      </c>
      <c r="F57" s="69" t="s">
        <v>619</v>
      </c>
      <c r="G57" s="69" t="s">
        <v>145</v>
      </c>
      <c r="H57" s="69" t="s">
        <v>270</v>
      </c>
      <c r="I57" s="69" t="s">
        <v>425</v>
      </c>
      <c r="J57" s="69" t="s">
        <v>425</v>
      </c>
      <c r="K57" s="69"/>
      <c r="L57" s="69" t="s">
        <v>620</v>
      </c>
      <c r="M57" s="69" t="s">
        <v>86</v>
      </c>
      <c r="N57" s="69" t="s">
        <v>87</v>
      </c>
      <c r="O57" s="69" t="s">
        <v>18</v>
      </c>
      <c r="P57" s="69" t="s">
        <v>429</v>
      </c>
      <c r="Q57" s="70">
        <v>10514</v>
      </c>
      <c r="R57" s="69" t="s">
        <v>621</v>
      </c>
      <c r="S57" s="70">
        <v>37</v>
      </c>
    </row>
    <row r="58" spans="1:19" x14ac:dyDescent="0.2">
      <c r="A58" s="69" t="s">
        <v>622</v>
      </c>
      <c r="B58" s="69" t="s">
        <v>422</v>
      </c>
      <c r="C58" s="69" t="s">
        <v>423</v>
      </c>
      <c r="D58" s="70">
        <v>1</v>
      </c>
      <c r="E58" s="70">
        <v>18.14</v>
      </c>
      <c r="F58" s="69" t="s">
        <v>623</v>
      </c>
      <c r="G58" s="69" t="s">
        <v>251</v>
      </c>
      <c r="H58" s="69" t="s">
        <v>274</v>
      </c>
      <c r="I58" s="69" t="s">
        <v>425</v>
      </c>
      <c r="J58" s="69" t="s">
        <v>425</v>
      </c>
      <c r="K58" s="69"/>
      <c r="L58" s="69" t="s">
        <v>624</v>
      </c>
      <c r="M58" s="69" t="s">
        <v>88</v>
      </c>
      <c r="N58" s="69" t="s">
        <v>26</v>
      </c>
      <c r="O58" s="69" t="s">
        <v>18</v>
      </c>
      <c r="P58" s="69" t="s">
        <v>429</v>
      </c>
      <c r="Q58" s="70">
        <v>10509</v>
      </c>
      <c r="R58" s="69" t="s">
        <v>573</v>
      </c>
      <c r="S58" s="70">
        <v>37</v>
      </c>
    </row>
    <row r="59" spans="1:19" x14ac:dyDescent="0.2">
      <c r="A59" s="69" t="s">
        <v>625</v>
      </c>
      <c r="B59" s="69" t="s">
        <v>422</v>
      </c>
      <c r="C59" s="69" t="s">
        <v>423</v>
      </c>
      <c r="D59" s="70">
        <v>1</v>
      </c>
      <c r="E59" s="70">
        <v>13.61</v>
      </c>
      <c r="F59" s="69" t="s">
        <v>626</v>
      </c>
      <c r="G59" s="69" t="s">
        <v>146</v>
      </c>
      <c r="H59" s="69" t="s">
        <v>270</v>
      </c>
      <c r="I59" s="69" t="s">
        <v>425</v>
      </c>
      <c r="J59" s="69" t="s">
        <v>425</v>
      </c>
      <c r="K59" s="69"/>
      <c r="L59" s="69" t="s">
        <v>627</v>
      </c>
      <c r="M59" s="69" t="s">
        <v>89</v>
      </c>
      <c r="N59" s="69" t="s">
        <v>28</v>
      </c>
      <c r="O59" s="69" t="s">
        <v>18</v>
      </c>
      <c r="P59" s="69" t="s">
        <v>429</v>
      </c>
      <c r="Q59" s="70">
        <v>10549</v>
      </c>
      <c r="R59" s="69" t="s">
        <v>628</v>
      </c>
      <c r="S59" s="70">
        <v>38</v>
      </c>
    </row>
    <row r="60" spans="1:19" x14ac:dyDescent="0.2">
      <c r="A60" s="69" t="s">
        <v>629</v>
      </c>
      <c r="B60" s="69" t="s">
        <v>422</v>
      </c>
      <c r="C60" s="69" t="s">
        <v>423</v>
      </c>
      <c r="D60" s="70">
        <v>1</v>
      </c>
      <c r="E60" s="70">
        <v>11.34</v>
      </c>
      <c r="F60" s="69" t="s">
        <v>630</v>
      </c>
      <c r="G60" s="69" t="s">
        <v>308</v>
      </c>
      <c r="H60" s="69" t="s">
        <v>269</v>
      </c>
      <c r="I60" s="69" t="s">
        <v>425</v>
      </c>
      <c r="J60" s="69" t="s">
        <v>425</v>
      </c>
      <c r="K60" s="69"/>
      <c r="L60" s="69" t="s">
        <v>631</v>
      </c>
      <c r="M60" s="69" t="s">
        <v>90</v>
      </c>
      <c r="N60" s="69" t="s">
        <v>28</v>
      </c>
      <c r="O60" s="69" t="s">
        <v>18</v>
      </c>
      <c r="P60" s="69" t="s">
        <v>429</v>
      </c>
      <c r="Q60" s="70">
        <v>10549</v>
      </c>
      <c r="R60" s="69" t="s">
        <v>632</v>
      </c>
      <c r="S60" s="70">
        <v>38</v>
      </c>
    </row>
    <row r="61" spans="1:19" x14ac:dyDescent="0.2">
      <c r="A61" s="69" t="s">
        <v>633</v>
      </c>
      <c r="B61" s="69" t="s">
        <v>422</v>
      </c>
      <c r="C61" s="69" t="s">
        <v>423</v>
      </c>
      <c r="D61" s="70">
        <v>1</v>
      </c>
      <c r="E61" s="70">
        <v>6.8</v>
      </c>
      <c r="F61" s="69" t="s">
        <v>634</v>
      </c>
      <c r="G61" s="69" t="s">
        <v>309</v>
      </c>
      <c r="H61" s="69" t="s">
        <v>269</v>
      </c>
      <c r="I61" s="69" t="s">
        <v>425</v>
      </c>
      <c r="J61" s="69" t="s">
        <v>425</v>
      </c>
      <c r="K61" s="69"/>
      <c r="L61" s="69" t="s">
        <v>635</v>
      </c>
      <c r="M61" s="69" t="s">
        <v>91</v>
      </c>
      <c r="N61" s="69" t="s">
        <v>26</v>
      </c>
      <c r="O61" s="69" t="s">
        <v>18</v>
      </c>
      <c r="P61" s="69" t="s">
        <v>429</v>
      </c>
      <c r="Q61" s="70">
        <v>10507</v>
      </c>
      <c r="R61" s="69" t="s">
        <v>636</v>
      </c>
      <c r="S61" s="70">
        <v>39</v>
      </c>
    </row>
    <row r="62" spans="1:19" x14ac:dyDescent="0.2">
      <c r="A62" s="69" t="s">
        <v>637</v>
      </c>
      <c r="B62" s="69" t="s">
        <v>422</v>
      </c>
      <c r="C62" s="69" t="s">
        <v>423</v>
      </c>
      <c r="D62" s="70">
        <v>1</v>
      </c>
      <c r="E62" s="70">
        <v>15.88</v>
      </c>
      <c r="F62" s="69" t="s">
        <v>638</v>
      </c>
      <c r="G62" s="69" t="s">
        <v>310</v>
      </c>
      <c r="H62" s="69" t="s">
        <v>269</v>
      </c>
      <c r="I62" s="69" t="s">
        <v>425</v>
      </c>
      <c r="J62" s="69" t="s">
        <v>425</v>
      </c>
      <c r="K62" s="69"/>
      <c r="L62" s="69" t="s">
        <v>639</v>
      </c>
      <c r="M62" s="69" t="s">
        <v>92</v>
      </c>
      <c r="N62" s="69" t="s">
        <v>28</v>
      </c>
      <c r="O62" s="69" t="s">
        <v>18</v>
      </c>
      <c r="P62" s="69" t="s">
        <v>429</v>
      </c>
      <c r="Q62" s="70">
        <v>10509</v>
      </c>
      <c r="R62" s="69" t="s">
        <v>640</v>
      </c>
      <c r="S62" s="70">
        <v>40</v>
      </c>
    </row>
    <row r="63" spans="1:19" x14ac:dyDescent="0.2">
      <c r="A63" s="69" t="s">
        <v>641</v>
      </c>
      <c r="B63" s="69" t="s">
        <v>422</v>
      </c>
      <c r="C63" s="69" t="s">
        <v>423</v>
      </c>
      <c r="D63" s="70">
        <v>1</v>
      </c>
      <c r="E63" s="70">
        <v>19.05</v>
      </c>
      <c r="F63" s="69" t="s">
        <v>642</v>
      </c>
      <c r="G63" s="69" t="s">
        <v>311</v>
      </c>
      <c r="H63" s="69" t="s">
        <v>269</v>
      </c>
      <c r="I63" s="69" t="s">
        <v>425</v>
      </c>
      <c r="J63" s="69" t="s">
        <v>425</v>
      </c>
      <c r="K63" s="69"/>
      <c r="L63" s="69" t="s">
        <v>643</v>
      </c>
      <c r="M63" s="69" t="s">
        <v>93</v>
      </c>
      <c r="N63" s="69" t="s">
        <v>28</v>
      </c>
      <c r="O63" s="69" t="s">
        <v>18</v>
      </c>
      <c r="P63" s="69" t="s">
        <v>429</v>
      </c>
      <c r="Q63" s="70">
        <v>10549</v>
      </c>
      <c r="R63" s="69" t="s">
        <v>644</v>
      </c>
      <c r="S63" s="70">
        <v>41</v>
      </c>
    </row>
    <row r="64" spans="1:19" x14ac:dyDescent="0.2">
      <c r="A64" s="69" t="s">
        <v>645</v>
      </c>
      <c r="B64" s="69" t="s">
        <v>422</v>
      </c>
      <c r="C64" s="69" t="s">
        <v>423</v>
      </c>
      <c r="D64" s="70">
        <v>1</v>
      </c>
      <c r="E64" s="70">
        <v>20.41</v>
      </c>
      <c r="F64" s="69" t="s">
        <v>646</v>
      </c>
      <c r="G64" s="69" t="s">
        <v>161</v>
      </c>
      <c r="H64" s="69" t="s">
        <v>270</v>
      </c>
      <c r="I64" s="69" t="s">
        <v>425</v>
      </c>
      <c r="J64" s="69" t="s">
        <v>425</v>
      </c>
      <c r="K64" s="69"/>
      <c r="L64" s="69" t="s">
        <v>647</v>
      </c>
      <c r="M64" s="69" t="s">
        <v>94</v>
      </c>
      <c r="N64" s="69" t="s">
        <v>26</v>
      </c>
      <c r="O64" s="69" t="s">
        <v>18</v>
      </c>
      <c r="P64" s="69" t="s">
        <v>429</v>
      </c>
      <c r="Q64" s="70">
        <v>10509</v>
      </c>
      <c r="R64" s="69" t="s">
        <v>648</v>
      </c>
      <c r="S64" s="70">
        <v>42</v>
      </c>
    </row>
    <row r="65" spans="1:19" x14ac:dyDescent="0.2">
      <c r="A65" s="69" t="s">
        <v>653</v>
      </c>
      <c r="B65" s="69" t="s">
        <v>422</v>
      </c>
      <c r="C65" s="69" t="s">
        <v>423</v>
      </c>
      <c r="D65" s="70">
        <v>1</v>
      </c>
      <c r="E65" s="70">
        <v>31.75</v>
      </c>
      <c r="F65" s="69" t="s">
        <v>654</v>
      </c>
      <c r="G65" s="69" t="s">
        <v>312</v>
      </c>
      <c r="H65" s="69" t="s">
        <v>269</v>
      </c>
      <c r="I65" s="69" t="s">
        <v>425</v>
      </c>
      <c r="J65" s="69" t="s">
        <v>425</v>
      </c>
      <c r="K65" s="69"/>
      <c r="L65" s="69" t="s">
        <v>655</v>
      </c>
      <c r="M65" s="69" t="s">
        <v>96</v>
      </c>
      <c r="N65" s="69" t="s">
        <v>28</v>
      </c>
      <c r="O65" s="69" t="s">
        <v>18</v>
      </c>
      <c r="P65" s="69" t="s">
        <v>429</v>
      </c>
      <c r="Q65" s="70">
        <v>10549</v>
      </c>
      <c r="R65" s="69" t="s">
        <v>652</v>
      </c>
      <c r="S65" s="70">
        <v>43</v>
      </c>
    </row>
    <row r="66" spans="1:19" x14ac:dyDescent="0.2">
      <c r="A66" s="69" t="s">
        <v>649</v>
      </c>
      <c r="B66" s="69" t="s">
        <v>422</v>
      </c>
      <c r="C66" s="69" t="s">
        <v>423</v>
      </c>
      <c r="D66" s="70">
        <v>1</v>
      </c>
      <c r="E66" s="70">
        <v>34.020000000000003</v>
      </c>
      <c r="F66" s="69" t="s">
        <v>650</v>
      </c>
      <c r="G66" s="69" t="s">
        <v>160</v>
      </c>
      <c r="H66" s="69" t="s">
        <v>270</v>
      </c>
      <c r="I66" s="69" t="s">
        <v>425</v>
      </c>
      <c r="J66" s="69" t="s">
        <v>425</v>
      </c>
      <c r="K66" s="69"/>
      <c r="L66" s="69" t="s">
        <v>651</v>
      </c>
      <c r="M66" s="69" t="s">
        <v>95</v>
      </c>
      <c r="N66" s="69" t="s">
        <v>28</v>
      </c>
      <c r="O66" s="69" t="s">
        <v>18</v>
      </c>
      <c r="P66" s="69" t="s">
        <v>429</v>
      </c>
      <c r="Q66" s="70">
        <v>10549</v>
      </c>
      <c r="R66" s="69" t="s">
        <v>652</v>
      </c>
      <c r="S66" s="70">
        <v>44</v>
      </c>
    </row>
    <row r="67" spans="1:19" x14ac:dyDescent="0.2">
      <c r="A67" s="69" t="s">
        <v>658</v>
      </c>
      <c r="B67" s="69" t="s">
        <v>422</v>
      </c>
      <c r="C67" s="69" t="s">
        <v>423</v>
      </c>
      <c r="D67" s="70">
        <v>1</v>
      </c>
      <c r="E67" s="70">
        <v>22.68</v>
      </c>
      <c r="F67" s="69" t="s">
        <v>656</v>
      </c>
      <c r="G67" s="69" t="s">
        <v>162</v>
      </c>
      <c r="H67" s="69" t="s">
        <v>270</v>
      </c>
      <c r="I67" s="69" t="s">
        <v>425</v>
      </c>
      <c r="J67" s="69" t="s">
        <v>425</v>
      </c>
      <c r="K67" s="69"/>
      <c r="L67" s="69" t="s">
        <v>657</v>
      </c>
      <c r="M67" s="69" t="s">
        <v>97</v>
      </c>
      <c r="N67" s="69" t="s">
        <v>26</v>
      </c>
      <c r="O67" s="69" t="s">
        <v>18</v>
      </c>
      <c r="P67" s="69" t="s">
        <v>429</v>
      </c>
      <c r="Q67" s="70">
        <v>10509</v>
      </c>
      <c r="R67" s="69" t="s">
        <v>659</v>
      </c>
      <c r="S67" s="70">
        <v>45</v>
      </c>
    </row>
    <row r="68" spans="1:19" x14ac:dyDescent="0.2">
      <c r="A68" s="69" t="s">
        <v>671</v>
      </c>
      <c r="B68" s="69" t="s">
        <v>422</v>
      </c>
      <c r="C68" s="69" t="s">
        <v>423</v>
      </c>
      <c r="D68" s="70">
        <v>1</v>
      </c>
      <c r="E68" s="70">
        <v>20.41</v>
      </c>
      <c r="F68" s="69" t="s">
        <v>674</v>
      </c>
      <c r="G68" s="69" t="s">
        <v>114</v>
      </c>
      <c r="H68" s="69" t="s">
        <v>269</v>
      </c>
      <c r="I68" s="69" t="s">
        <v>425</v>
      </c>
      <c r="J68" s="69" t="s">
        <v>425</v>
      </c>
      <c r="K68" s="69"/>
      <c r="L68" s="69" t="s">
        <v>674</v>
      </c>
      <c r="M68" s="69" t="s">
        <v>21</v>
      </c>
      <c r="N68" s="69" t="s">
        <v>22</v>
      </c>
      <c r="O68" s="69" t="s">
        <v>18</v>
      </c>
      <c r="P68" s="69" t="s">
        <v>429</v>
      </c>
      <c r="Q68" s="70">
        <v>10080</v>
      </c>
      <c r="R68" s="69" t="s">
        <v>672</v>
      </c>
      <c r="S68" s="70">
        <v>1</v>
      </c>
    </row>
    <row r="69" spans="1:19" x14ac:dyDescent="0.2">
      <c r="A69" s="86"/>
      <c r="B69" s="86"/>
      <c r="C69" s="86"/>
      <c r="D69" s="87"/>
      <c r="E69" s="87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7"/>
      <c r="R69" s="86"/>
      <c r="S69" s="87"/>
    </row>
    <row r="70" spans="1:19" x14ac:dyDescent="0.2">
      <c r="A70" s="86"/>
      <c r="B70" s="86"/>
      <c r="C70" s="86"/>
      <c r="D70" s="87"/>
      <c r="E70" s="87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7"/>
      <c r="R70" s="86"/>
      <c r="S70" s="87"/>
    </row>
    <row r="71" spans="1:19" x14ac:dyDescent="0.2">
      <c r="A71" s="86"/>
      <c r="B71" s="86"/>
      <c r="C71" s="86"/>
      <c r="D71" s="87"/>
      <c r="E71" s="87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7"/>
      <c r="R71" s="86"/>
      <c r="S71" s="87"/>
    </row>
    <row r="72" spans="1:19" x14ac:dyDescent="0.2">
      <c r="A72" s="86"/>
      <c r="B72" s="86"/>
      <c r="C72" s="86"/>
      <c r="D72" s="87"/>
      <c r="E72" s="87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7"/>
      <c r="R72" s="86"/>
      <c r="S72" s="87"/>
    </row>
    <row r="73" spans="1:19" x14ac:dyDescent="0.2">
      <c r="A73" s="86"/>
      <c r="B73" s="86"/>
      <c r="C73" s="86"/>
      <c r="D73" s="87"/>
      <c r="E73" s="87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7"/>
      <c r="R73" s="86"/>
      <c r="S73" s="87"/>
    </row>
    <row r="74" spans="1:19" x14ac:dyDescent="0.2">
      <c r="A74" s="86"/>
      <c r="B74" s="86"/>
      <c r="C74" s="86"/>
      <c r="D74" s="87"/>
      <c r="E74" s="87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7"/>
      <c r="R74" s="86"/>
      <c r="S74" s="87"/>
    </row>
    <row r="75" spans="1:19" x14ac:dyDescent="0.2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7"/>
    </row>
    <row r="76" spans="1:19" x14ac:dyDescent="0.2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7"/>
    </row>
  </sheetData>
  <sortState ref="A3:S76">
    <sortCondition ref="S49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F49" zoomScale="96" zoomScaleNormal="96" workbookViewId="0">
      <selection activeCell="J69" sqref="J69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9" t="s">
        <v>316</v>
      </c>
      <c r="B1" s="139"/>
      <c r="C1" s="139"/>
      <c r="D1" s="17" t="s">
        <v>419</v>
      </c>
      <c r="E1" s="17"/>
      <c r="F1" s="138"/>
      <c r="G1" s="138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380</v>
      </c>
      <c r="B2" s="22" t="s">
        <v>381</v>
      </c>
      <c r="C2" s="22" t="s">
        <v>382</v>
      </c>
      <c r="D2" s="23" t="s">
        <v>383</v>
      </c>
      <c r="E2" s="18" t="s">
        <v>384</v>
      </c>
      <c r="F2" s="18" t="s">
        <v>330</v>
      </c>
      <c r="G2" s="18" t="s">
        <v>331</v>
      </c>
      <c r="H2" s="18" t="s">
        <v>332</v>
      </c>
      <c r="I2" s="18" t="s">
        <v>333</v>
      </c>
      <c r="J2" s="18" t="s">
        <v>334</v>
      </c>
      <c r="K2" s="26" t="s">
        <v>335</v>
      </c>
      <c r="L2" s="18" t="s">
        <v>336</v>
      </c>
      <c r="M2" s="18" t="s">
        <v>337</v>
      </c>
      <c r="N2" s="18" t="s">
        <v>338</v>
      </c>
      <c r="O2" s="18" t="s">
        <v>339</v>
      </c>
      <c r="P2" s="18" t="s">
        <v>340</v>
      </c>
      <c r="Q2" s="18" t="s">
        <v>341</v>
      </c>
      <c r="R2" s="18" t="s">
        <v>342</v>
      </c>
      <c r="S2" s="18" t="s">
        <v>343</v>
      </c>
      <c r="T2" s="18" t="s">
        <v>344</v>
      </c>
      <c r="U2" s="18" t="s">
        <v>345</v>
      </c>
      <c r="V2" s="18" t="s">
        <v>346</v>
      </c>
      <c r="W2" s="18" t="s">
        <v>347</v>
      </c>
      <c r="X2" s="18" t="s">
        <v>348</v>
      </c>
      <c r="Y2" s="18" t="s">
        <v>349</v>
      </c>
      <c r="Z2" s="18" t="s">
        <v>350</v>
      </c>
      <c r="AA2" s="18" t="s">
        <v>351</v>
      </c>
      <c r="AB2" s="18" t="s">
        <v>352</v>
      </c>
      <c r="AC2" s="18" t="s">
        <v>353</v>
      </c>
      <c r="AD2" s="18" t="s">
        <v>354</v>
      </c>
      <c r="AE2" s="18" t="s">
        <v>355</v>
      </c>
      <c r="AF2" s="18" t="s">
        <v>356</v>
      </c>
      <c r="AG2" s="18" t="s">
        <v>357</v>
      </c>
      <c r="AH2" s="18" t="s">
        <v>358</v>
      </c>
      <c r="AI2" s="18" t="s">
        <v>359</v>
      </c>
      <c r="AJ2" s="18" t="s">
        <v>360</v>
      </c>
      <c r="AK2" s="18" t="s">
        <v>361</v>
      </c>
      <c r="AL2" s="18" t="s">
        <v>362</v>
      </c>
      <c r="AM2" s="18" t="s">
        <v>363</v>
      </c>
      <c r="AN2" s="18" t="s">
        <v>364</v>
      </c>
      <c r="AO2" s="18" t="s">
        <v>365</v>
      </c>
      <c r="AP2" s="18" t="s">
        <v>366</v>
      </c>
      <c r="AQ2" s="18" t="s">
        <v>367</v>
      </c>
      <c r="AR2" s="18" t="s">
        <v>368</v>
      </c>
      <c r="AS2" s="18" t="s">
        <v>369</v>
      </c>
      <c r="AT2" s="18" t="s">
        <v>370</v>
      </c>
      <c r="AU2" s="18" t="s">
        <v>371</v>
      </c>
      <c r="AV2" s="18" t="s">
        <v>372</v>
      </c>
      <c r="AW2" s="18" t="s">
        <v>373</v>
      </c>
      <c r="AX2" s="18" t="s">
        <v>374</v>
      </c>
      <c r="AY2" s="18" t="s">
        <v>375</v>
      </c>
      <c r="AZ2" s="24" t="s">
        <v>376</v>
      </c>
      <c r="BA2" s="18" t="s">
        <v>377</v>
      </c>
      <c r="BB2" s="18" t="s">
        <v>378</v>
      </c>
      <c r="BC2" s="18" t="s">
        <v>379</v>
      </c>
      <c r="BD2" s="18" t="s">
        <v>111</v>
      </c>
    </row>
    <row r="3" spans="1:56" s="21" customFormat="1" ht="16.5" customHeight="1" x14ac:dyDescent="0.2">
      <c r="A3" s="66">
        <v>23</v>
      </c>
      <c r="B3" s="66" t="s">
        <v>423</v>
      </c>
      <c r="C3" s="66" t="s">
        <v>424</v>
      </c>
      <c r="D3" s="66">
        <v>202</v>
      </c>
      <c r="E3" s="66">
        <v>30167734</v>
      </c>
      <c r="F3" s="66" t="s">
        <v>420</v>
      </c>
      <c r="G3" s="66"/>
      <c r="H3" s="66" t="s">
        <v>422</v>
      </c>
      <c r="I3" s="66">
        <v>1</v>
      </c>
      <c r="J3" s="66" t="s">
        <v>426</v>
      </c>
      <c r="K3" s="67">
        <v>20.41</v>
      </c>
      <c r="L3" s="68" t="s">
        <v>667</v>
      </c>
      <c r="M3" s="66" t="s">
        <v>427</v>
      </c>
      <c r="N3" s="66" t="s">
        <v>428</v>
      </c>
      <c r="O3" s="66"/>
      <c r="P3" s="66"/>
      <c r="Q3" s="66"/>
      <c r="R3" s="66" t="s">
        <v>663</v>
      </c>
      <c r="S3" s="66" t="s">
        <v>430</v>
      </c>
      <c r="T3" s="66" t="s">
        <v>431</v>
      </c>
      <c r="U3" s="66"/>
      <c r="V3" s="66"/>
      <c r="W3" s="66" t="s">
        <v>425</v>
      </c>
      <c r="X3" s="66"/>
      <c r="Y3" s="66" t="s">
        <v>666</v>
      </c>
      <c r="Z3" s="66" t="s">
        <v>30</v>
      </c>
      <c r="AA3" s="66" t="s">
        <v>28</v>
      </c>
      <c r="AB3" s="66" t="s">
        <v>18</v>
      </c>
      <c r="AC3" s="66">
        <v>10549</v>
      </c>
      <c r="AD3" s="66" t="s">
        <v>432</v>
      </c>
      <c r="AE3" s="66">
        <v>2408738452</v>
      </c>
      <c r="AF3" s="66" t="s">
        <v>433</v>
      </c>
      <c r="AG3" s="66">
        <v>21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>
        <v>86</v>
      </c>
      <c r="AX3" s="66"/>
      <c r="AY3" s="66" t="s">
        <v>425</v>
      </c>
      <c r="AZ3" s="66">
        <v>10</v>
      </c>
      <c r="BA3" s="66" t="s">
        <v>434</v>
      </c>
      <c r="BB3" s="66"/>
      <c r="BC3" s="66" t="s">
        <v>435</v>
      </c>
      <c r="BD3" s="66">
        <v>10</v>
      </c>
    </row>
    <row r="4" spans="1:56" s="21" customFormat="1" x14ac:dyDescent="0.2">
      <c r="A4" s="66">
        <v>23</v>
      </c>
      <c r="B4" s="66" t="s">
        <v>423</v>
      </c>
      <c r="C4" s="66" t="s">
        <v>424</v>
      </c>
      <c r="D4" s="66">
        <v>202</v>
      </c>
      <c r="E4" s="66">
        <v>30167734</v>
      </c>
      <c r="F4" s="66" t="s">
        <v>437</v>
      </c>
      <c r="G4" s="66"/>
      <c r="H4" s="66" t="s">
        <v>422</v>
      </c>
      <c r="I4" s="66">
        <v>1</v>
      </c>
      <c r="J4" s="66" t="s">
        <v>426</v>
      </c>
      <c r="K4" s="67">
        <v>20.41</v>
      </c>
      <c r="L4" s="68" t="s">
        <v>440</v>
      </c>
      <c r="M4" s="66" t="s">
        <v>427</v>
      </c>
      <c r="N4" s="66" t="s">
        <v>428</v>
      </c>
      <c r="O4" s="66"/>
      <c r="P4" s="66"/>
      <c r="Q4" s="66"/>
      <c r="R4" s="66" t="s">
        <v>438</v>
      </c>
      <c r="S4" s="66" t="s">
        <v>430</v>
      </c>
      <c r="T4" s="66" t="s">
        <v>431</v>
      </c>
      <c r="U4" s="66"/>
      <c r="V4" s="66"/>
      <c r="W4" s="66" t="s">
        <v>425</v>
      </c>
      <c r="X4" s="66"/>
      <c r="Y4" s="66" t="s">
        <v>439</v>
      </c>
      <c r="Z4" s="66" t="s">
        <v>25</v>
      </c>
      <c r="AA4" s="66" t="s">
        <v>26</v>
      </c>
      <c r="AB4" s="66" t="s">
        <v>18</v>
      </c>
      <c r="AC4" s="66">
        <v>10549</v>
      </c>
      <c r="AD4" s="66" t="s">
        <v>432</v>
      </c>
      <c r="AE4" s="66">
        <v>2408318436</v>
      </c>
      <c r="AF4" s="66" t="s">
        <v>433</v>
      </c>
      <c r="AG4" s="66">
        <v>21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>
        <v>86</v>
      </c>
      <c r="AX4" s="66"/>
      <c r="AY4" s="66" t="s">
        <v>425</v>
      </c>
      <c r="AZ4" s="66">
        <v>10</v>
      </c>
      <c r="BA4" s="66" t="s">
        <v>434</v>
      </c>
      <c r="BB4" s="66"/>
      <c r="BC4" s="66" t="s">
        <v>435</v>
      </c>
      <c r="BD4" s="66">
        <v>2</v>
      </c>
    </row>
    <row r="5" spans="1:56" s="21" customFormat="1" ht="15.75" customHeight="1" x14ac:dyDescent="0.2">
      <c r="A5" s="66">
        <v>23</v>
      </c>
      <c r="B5" s="66" t="s">
        <v>423</v>
      </c>
      <c r="C5" s="66" t="s">
        <v>424</v>
      </c>
      <c r="D5" s="66">
        <v>202</v>
      </c>
      <c r="E5" s="66">
        <v>30167734</v>
      </c>
      <c r="F5" s="66" t="s">
        <v>441</v>
      </c>
      <c r="G5" s="66"/>
      <c r="H5" s="66" t="s">
        <v>422</v>
      </c>
      <c r="I5" s="66">
        <v>1</v>
      </c>
      <c r="J5" s="66" t="s">
        <v>426</v>
      </c>
      <c r="K5" s="67">
        <v>20.41</v>
      </c>
      <c r="L5" s="68" t="s">
        <v>444</v>
      </c>
      <c r="M5" s="66" t="s">
        <v>427</v>
      </c>
      <c r="N5" s="66" t="s">
        <v>428</v>
      </c>
      <c r="O5" s="66"/>
      <c r="P5" s="66"/>
      <c r="Q5" s="66"/>
      <c r="R5" s="66" t="s">
        <v>442</v>
      </c>
      <c r="S5" s="66" t="s">
        <v>430</v>
      </c>
      <c r="T5" s="66" t="s">
        <v>431</v>
      </c>
      <c r="U5" s="66"/>
      <c r="V5" s="66"/>
      <c r="W5" s="66" t="s">
        <v>425</v>
      </c>
      <c r="X5" s="66"/>
      <c r="Y5" s="66" t="s">
        <v>443</v>
      </c>
      <c r="Z5" s="66" t="s">
        <v>27</v>
      </c>
      <c r="AA5" s="66" t="s">
        <v>28</v>
      </c>
      <c r="AB5" s="66" t="s">
        <v>18</v>
      </c>
      <c r="AC5" s="66">
        <v>10549</v>
      </c>
      <c r="AD5" s="66" t="s">
        <v>432</v>
      </c>
      <c r="AE5" s="66">
        <v>2406532510</v>
      </c>
      <c r="AF5" s="66" t="s">
        <v>433</v>
      </c>
      <c r="AG5" s="66">
        <v>21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>
        <v>86</v>
      </c>
      <c r="AX5" s="66"/>
      <c r="AY5" s="66" t="s">
        <v>425</v>
      </c>
      <c r="AZ5" s="66">
        <v>10</v>
      </c>
      <c r="BA5" s="66" t="s">
        <v>434</v>
      </c>
      <c r="BB5" s="66"/>
      <c r="BC5" s="66" t="s">
        <v>435</v>
      </c>
      <c r="BD5" s="66">
        <v>2</v>
      </c>
    </row>
    <row r="6" spans="1:56" s="21" customFormat="1" x14ac:dyDescent="0.2">
      <c r="A6" s="66">
        <v>23</v>
      </c>
      <c r="B6" s="66" t="s">
        <v>423</v>
      </c>
      <c r="C6" s="66" t="s">
        <v>424</v>
      </c>
      <c r="D6" s="66">
        <v>202</v>
      </c>
      <c r="E6" s="66">
        <v>30167734</v>
      </c>
      <c r="F6" s="66" t="s">
        <v>445</v>
      </c>
      <c r="G6" s="66"/>
      <c r="H6" s="66" t="s">
        <v>422</v>
      </c>
      <c r="I6" s="66">
        <v>1</v>
      </c>
      <c r="J6" s="66" t="s">
        <v>426</v>
      </c>
      <c r="K6" s="67">
        <v>20.41</v>
      </c>
      <c r="L6" s="68" t="s">
        <v>448</v>
      </c>
      <c r="M6" s="66" t="s">
        <v>427</v>
      </c>
      <c r="N6" s="66" t="s">
        <v>428</v>
      </c>
      <c r="O6" s="66"/>
      <c r="P6" s="66"/>
      <c r="Q6" s="66"/>
      <c r="R6" s="66" t="s">
        <v>446</v>
      </c>
      <c r="S6" s="66" t="s">
        <v>430</v>
      </c>
      <c r="T6" s="66" t="s">
        <v>431</v>
      </c>
      <c r="U6" s="66"/>
      <c r="V6" s="66"/>
      <c r="W6" s="66" t="s">
        <v>425</v>
      </c>
      <c r="X6" s="66"/>
      <c r="Y6" s="66" t="s">
        <v>447</v>
      </c>
      <c r="Z6" s="66" t="s">
        <v>29</v>
      </c>
      <c r="AA6" s="66" t="s">
        <v>28</v>
      </c>
      <c r="AB6" s="66" t="s">
        <v>18</v>
      </c>
      <c r="AC6" s="66">
        <v>10549</v>
      </c>
      <c r="AD6" s="66" t="s">
        <v>432</v>
      </c>
      <c r="AE6" s="66">
        <v>2409804702</v>
      </c>
      <c r="AF6" s="66" t="s">
        <v>433</v>
      </c>
      <c r="AG6" s="66">
        <v>21</v>
      </c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>
        <v>86</v>
      </c>
      <c r="AX6" s="66"/>
      <c r="AY6" s="66" t="s">
        <v>425</v>
      </c>
      <c r="AZ6" s="66">
        <v>10</v>
      </c>
      <c r="BA6" s="66" t="s">
        <v>434</v>
      </c>
      <c r="BB6" s="66"/>
      <c r="BC6" s="66" t="s">
        <v>435</v>
      </c>
      <c r="BD6" s="66">
        <v>3</v>
      </c>
    </row>
    <row r="7" spans="1:56" s="21" customFormat="1" x14ac:dyDescent="0.2">
      <c r="A7" s="66">
        <v>23</v>
      </c>
      <c r="B7" s="66" t="s">
        <v>423</v>
      </c>
      <c r="C7" s="66" t="s">
        <v>424</v>
      </c>
      <c r="D7" s="66">
        <v>202</v>
      </c>
      <c r="E7" s="66">
        <v>30167734</v>
      </c>
      <c r="F7" s="66" t="s">
        <v>449</v>
      </c>
      <c r="G7" s="66"/>
      <c r="H7" s="66" t="s">
        <v>422</v>
      </c>
      <c r="I7" s="66">
        <v>1</v>
      </c>
      <c r="J7" s="66" t="s">
        <v>426</v>
      </c>
      <c r="K7" s="67">
        <v>20.41</v>
      </c>
      <c r="L7" s="68" t="s">
        <v>452</v>
      </c>
      <c r="M7" s="66" t="s">
        <v>427</v>
      </c>
      <c r="N7" s="66" t="s">
        <v>428</v>
      </c>
      <c r="O7" s="66"/>
      <c r="P7" s="66"/>
      <c r="Q7" s="66"/>
      <c r="R7" s="66" t="s">
        <v>450</v>
      </c>
      <c r="S7" s="66" t="s">
        <v>430</v>
      </c>
      <c r="T7" s="66" t="s">
        <v>431</v>
      </c>
      <c r="U7" s="66"/>
      <c r="V7" s="66"/>
      <c r="W7" s="66" t="s">
        <v>425</v>
      </c>
      <c r="X7" s="66"/>
      <c r="Y7" s="66" t="s">
        <v>451</v>
      </c>
      <c r="Z7" s="66" t="s">
        <v>30</v>
      </c>
      <c r="AA7" s="66" t="s">
        <v>28</v>
      </c>
      <c r="AB7" s="66" t="s">
        <v>18</v>
      </c>
      <c r="AC7" s="66">
        <v>10549</v>
      </c>
      <c r="AD7" s="66" t="s">
        <v>432</v>
      </c>
      <c r="AE7" s="66">
        <v>2408417970</v>
      </c>
      <c r="AF7" s="66" t="s">
        <v>433</v>
      </c>
      <c r="AG7" s="66">
        <v>21</v>
      </c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>
        <v>86</v>
      </c>
      <c r="AX7" s="66"/>
      <c r="AY7" s="66" t="s">
        <v>425</v>
      </c>
      <c r="AZ7" s="66">
        <v>10</v>
      </c>
      <c r="BA7" s="66" t="s">
        <v>434</v>
      </c>
      <c r="BB7" s="66"/>
      <c r="BC7" s="66" t="s">
        <v>435</v>
      </c>
      <c r="BD7" s="66">
        <v>3</v>
      </c>
    </row>
    <row r="8" spans="1:56" s="21" customFormat="1" ht="15.75" customHeight="1" x14ac:dyDescent="0.2">
      <c r="A8" s="66">
        <v>23</v>
      </c>
      <c r="B8" s="66" t="s">
        <v>423</v>
      </c>
      <c r="C8" s="66" t="s">
        <v>424</v>
      </c>
      <c r="D8" s="66">
        <v>202</v>
      </c>
      <c r="E8" s="66">
        <v>30167734</v>
      </c>
      <c r="F8" s="66" t="s">
        <v>453</v>
      </c>
      <c r="G8" s="66"/>
      <c r="H8" s="66" t="s">
        <v>422</v>
      </c>
      <c r="I8" s="66">
        <v>1</v>
      </c>
      <c r="J8" s="66" t="s">
        <v>426</v>
      </c>
      <c r="K8" s="67">
        <v>27.22</v>
      </c>
      <c r="L8" s="68" t="s">
        <v>665</v>
      </c>
      <c r="M8" s="66" t="s">
        <v>427</v>
      </c>
      <c r="N8" s="66" t="s">
        <v>428</v>
      </c>
      <c r="O8" s="66"/>
      <c r="P8" s="66"/>
      <c r="Q8" s="66"/>
      <c r="R8" s="66" t="s">
        <v>454</v>
      </c>
      <c r="S8" s="66" t="s">
        <v>664</v>
      </c>
      <c r="T8" s="66" t="s">
        <v>431</v>
      </c>
      <c r="U8" s="66"/>
      <c r="V8" s="66"/>
      <c r="W8" s="66" t="s">
        <v>425</v>
      </c>
      <c r="X8" s="66"/>
      <c r="Y8" s="66" t="s">
        <v>455</v>
      </c>
      <c r="Z8" s="66" t="s">
        <v>31</v>
      </c>
      <c r="AA8" s="66" t="s">
        <v>28</v>
      </c>
      <c r="AB8" s="66" t="s">
        <v>18</v>
      </c>
      <c r="AC8" s="66">
        <v>10549</v>
      </c>
      <c r="AD8" s="66" t="s">
        <v>432</v>
      </c>
      <c r="AE8" s="66">
        <v>2408413185</v>
      </c>
      <c r="AF8" s="66" t="s">
        <v>433</v>
      </c>
      <c r="AG8" s="66">
        <v>21</v>
      </c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>
        <v>86</v>
      </c>
      <c r="AX8" s="66"/>
      <c r="AY8" s="66" t="s">
        <v>425</v>
      </c>
      <c r="AZ8" s="66">
        <v>12</v>
      </c>
      <c r="BA8" s="66" t="s">
        <v>434</v>
      </c>
      <c r="BB8" s="66"/>
      <c r="BC8" s="66" t="s">
        <v>435</v>
      </c>
      <c r="BD8" s="66">
        <v>4</v>
      </c>
    </row>
    <row r="9" spans="1:56" s="21" customFormat="1" ht="15" customHeight="1" x14ac:dyDescent="0.2">
      <c r="A9" s="66">
        <v>23</v>
      </c>
      <c r="B9" s="66" t="s">
        <v>423</v>
      </c>
      <c r="C9" s="66" t="s">
        <v>424</v>
      </c>
      <c r="D9" s="66">
        <v>202</v>
      </c>
      <c r="E9" s="66">
        <v>30167734</v>
      </c>
      <c r="F9" s="66" t="s">
        <v>456</v>
      </c>
      <c r="G9" s="66"/>
      <c r="H9" s="66" t="s">
        <v>422</v>
      </c>
      <c r="I9" s="66">
        <v>1</v>
      </c>
      <c r="J9" s="66" t="s">
        <v>426</v>
      </c>
      <c r="K9" s="67">
        <v>20.41</v>
      </c>
      <c r="L9" s="68" t="s">
        <v>444</v>
      </c>
      <c r="M9" s="66" t="s">
        <v>427</v>
      </c>
      <c r="N9" s="66" t="s">
        <v>428</v>
      </c>
      <c r="O9" s="66"/>
      <c r="P9" s="66"/>
      <c r="Q9" s="66"/>
      <c r="R9" s="66" t="s">
        <v>457</v>
      </c>
      <c r="S9" s="66" t="s">
        <v>430</v>
      </c>
      <c r="T9" s="66" t="s">
        <v>431</v>
      </c>
      <c r="U9" s="66"/>
      <c r="V9" s="66"/>
      <c r="W9" s="66" t="s">
        <v>425</v>
      </c>
      <c r="X9" s="66"/>
      <c r="Y9" s="66" t="s">
        <v>458</v>
      </c>
      <c r="Z9" s="66" t="s">
        <v>32</v>
      </c>
      <c r="AA9" s="66" t="s">
        <v>28</v>
      </c>
      <c r="AB9" s="66" t="s">
        <v>18</v>
      </c>
      <c r="AC9" s="66">
        <v>10549</v>
      </c>
      <c r="AD9" s="66" t="s">
        <v>432</v>
      </c>
      <c r="AE9" s="66">
        <v>2405192069</v>
      </c>
      <c r="AF9" s="66" t="s">
        <v>433</v>
      </c>
      <c r="AG9" s="66">
        <v>21</v>
      </c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>
        <v>86</v>
      </c>
      <c r="AX9" s="66"/>
      <c r="AY9" s="66" t="s">
        <v>425</v>
      </c>
      <c r="AZ9" s="66">
        <v>10</v>
      </c>
      <c r="BA9" s="66" t="s">
        <v>434</v>
      </c>
      <c r="BB9" s="66"/>
      <c r="BC9" s="66" t="s">
        <v>435</v>
      </c>
      <c r="BD9" s="66">
        <v>4</v>
      </c>
    </row>
    <row r="10" spans="1:56" s="21" customFormat="1" ht="15.75" customHeight="1" x14ac:dyDescent="0.2">
      <c r="A10" s="66">
        <v>23</v>
      </c>
      <c r="B10" s="66" t="s">
        <v>423</v>
      </c>
      <c r="C10" s="66" t="s">
        <v>424</v>
      </c>
      <c r="D10" s="66">
        <v>202</v>
      </c>
      <c r="E10" s="66">
        <v>30167734</v>
      </c>
      <c r="F10" s="66" t="s">
        <v>459</v>
      </c>
      <c r="G10" s="66"/>
      <c r="H10" s="66" t="s">
        <v>422</v>
      </c>
      <c r="I10" s="66">
        <v>1</v>
      </c>
      <c r="J10" s="66" t="s">
        <v>426</v>
      </c>
      <c r="K10" s="67">
        <v>22.68</v>
      </c>
      <c r="L10" s="68" t="s">
        <v>444</v>
      </c>
      <c r="M10" s="66" t="s">
        <v>427</v>
      </c>
      <c r="N10" s="66" t="s">
        <v>428</v>
      </c>
      <c r="O10" s="66"/>
      <c r="P10" s="66"/>
      <c r="Q10" s="66"/>
      <c r="R10" s="66" t="s">
        <v>460</v>
      </c>
      <c r="S10" s="66" t="s">
        <v>430</v>
      </c>
      <c r="T10" s="66" t="s">
        <v>431</v>
      </c>
      <c r="U10" s="66"/>
      <c r="V10" s="66"/>
      <c r="W10" s="66" t="s">
        <v>425</v>
      </c>
      <c r="X10" s="66"/>
      <c r="Y10" s="66" t="s">
        <v>461</v>
      </c>
      <c r="Z10" s="66" t="s">
        <v>33</v>
      </c>
      <c r="AA10" s="66" t="s">
        <v>28</v>
      </c>
      <c r="AB10" s="66" t="s">
        <v>18</v>
      </c>
      <c r="AC10" s="66">
        <v>10549</v>
      </c>
      <c r="AD10" s="66" t="s">
        <v>432</v>
      </c>
      <c r="AE10" s="66">
        <v>2404302650</v>
      </c>
      <c r="AF10" s="66" t="s">
        <v>433</v>
      </c>
      <c r="AG10" s="66">
        <v>21</v>
      </c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>
        <v>86</v>
      </c>
      <c r="AX10" s="66"/>
      <c r="AY10" s="66" t="s">
        <v>425</v>
      </c>
      <c r="AZ10" s="66">
        <v>11</v>
      </c>
      <c r="BA10" s="66" t="s">
        <v>434</v>
      </c>
      <c r="BB10" s="66"/>
      <c r="BC10" s="66" t="s">
        <v>435</v>
      </c>
      <c r="BD10" s="66">
        <v>5</v>
      </c>
    </row>
    <row r="11" spans="1:56" s="21" customFormat="1" ht="15.75" customHeight="1" x14ac:dyDescent="0.2">
      <c r="A11" s="66">
        <v>23</v>
      </c>
      <c r="B11" s="66" t="s">
        <v>423</v>
      </c>
      <c r="C11" s="66" t="s">
        <v>424</v>
      </c>
      <c r="D11" s="66">
        <v>202</v>
      </c>
      <c r="E11" s="66">
        <v>30167734</v>
      </c>
      <c r="F11" s="66" t="s">
        <v>462</v>
      </c>
      <c r="G11" s="66"/>
      <c r="H11" s="66" t="s">
        <v>422</v>
      </c>
      <c r="I11" s="66">
        <v>1</v>
      </c>
      <c r="J11" s="66" t="s">
        <v>426</v>
      </c>
      <c r="K11" s="67">
        <v>27.22</v>
      </c>
      <c r="L11" s="68" t="s">
        <v>670</v>
      </c>
      <c r="M11" s="66" t="s">
        <v>427</v>
      </c>
      <c r="N11" s="66" t="s">
        <v>428</v>
      </c>
      <c r="O11" s="66"/>
      <c r="P11" s="66"/>
      <c r="Q11" s="66"/>
      <c r="R11" s="66" t="s">
        <v>668</v>
      </c>
      <c r="S11" s="66" t="s">
        <v>669</v>
      </c>
      <c r="T11" s="66" t="s">
        <v>431</v>
      </c>
      <c r="U11" s="66"/>
      <c r="V11" s="66"/>
      <c r="W11" s="66" t="s">
        <v>425</v>
      </c>
      <c r="X11" s="66"/>
      <c r="Y11" s="66" t="s">
        <v>463</v>
      </c>
      <c r="Z11" s="66" t="s">
        <v>34</v>
      </c>
      <c r="AA11" s="66" t="s">
        <v>28</v>
      </c>
      <c r="AB11" s="66" t="s">
        <v>18</v>
      </c>
      <c r="AC11" s="66">
        <v>10509</v>
      </c>
      <c r="AD11" s="66" t="s">
        <v>432</v>
      </c>
      <c r="AE11" s="66">
        <v>2405421628</v>
      </c>
      <c r="AF11" s="66" t="s">
        <v>433</v>
      </c>
      <c r="AG11" s="66">
        <v>21</v>
      </c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>
        <v>86</v>
      </c>
      <c r="AX11" s="66"/>
      <c r="AY11" s="66" t="s">
        <v>425</v>
      </c>
      <c r="AZ11" s="66">
        <v>12</v>
      </c>
      <c r="BA11" s="66" t="s">
        <v>434</v>
      </c>
      <c r="BB11" s="66"/>
      <c r="BC11" s="66" t="s">
        <v>435</v>
      </c>
      <c r="BD11" s="66">
        <v>8</v>
      </c>
    </row>
    <row r="12" spans="1:56" s="21" customFormat="1" ht="16.5" customHeight="1" x14ac:dyDescent="0.2">
      <c r="A12" s="66">
        <v>23</v>
      </c>
      <c r="B12" s="66" t="s">
        <v>423</v>
      </c>
      <c r="C12" s="66" t="s">
        <v>424</v>
      </c>
      <c r="D12" s="66">
        <v>202</v>
      </c>
      <c r="E12" s="66">
        <v>30167734</v>
      </c>
      <c r="F12" s="66" t="s">
        <v>464</v>
      </c>
      <c r="G12" s="66"/>
      <c r="H12" s="66" t="s">
        <v>422</v>
      </c>
      <c r="I12" s="66">
        <v>1</v>
      </c>
      <c r="J12" s="66" t="s">
        <v>426</v>
      </c>
      <c r="K12" s="67">
        <v>20.41</v>
      </c>
      <c r="L12" s="68" t="s">
        <v>467</v>
      </c>
      <c r="M12" s="66" t="s">
        <v>427</v>
      </c>
      <c r="N12" s="66" t="s">
        <v>428</v>
      </c>
      <c r="O12" s="66"/>
      <c r="P12" s="66"/>
      <c r="Q12" s="66"/>
      <c r="R12" s="66" t="s">
        <v>465</v>
      </c>
      <c r="S12" s="66" t="s">
        <v>430</v>
      </c>
      <c r="T12" s="66" t="s">
        <v>431</v>
      </c>
      <c r="U12" s="66"/>
      <c r="V12" s="66"/>
      <c r="W12" s="66" t="s">
        <v>425</v>
      </c>
      <c r="X12" s="66"/>
      <c r="Y12" s="66" t="s">
        <v>466</v>
      </c>
      <c r="Z12" s="66" t="s">
        <v>35</v>
      </c>
      <c r="AA12" s="66" t="s">
        <v>26</v>
      </c>
      <c r="AB12" s="66" t="s">
        <v>18</v>
      </c>
      <c r="AC12" s="66">
        <v>10509</v>
      </c>
      <c r="AD12" s="66" t="s">
        <v>432</v>
      </c>
      <c r="AE12" s="66">
        <v>2403060652</v>
      </c>
      <c r="AF12" s="66" t="s">
        <v>433</v>
      </c>
      <c r="AG12" s="66">
        <v>21</v>
      </c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>
        <v>86</v>
      </c>
      <c r="AX12" s="66"/>
      <c r="AY12" s="66" t="s">
        <v>425</v>
      </c>
      <c r="AZ12" s="66">
        <v>10</v>
      </c>
      <c r="BA12" s="66" t="s">
        <v>434</v>
      </c>
      <c r="BB12" s="66"/>
      <c r="BC12" s="66" t="s">
        <v>435</v>
      </c>
      <c r="BD12" s="66">
        <v>6</v>
      </c>
    </row>
    <row r="13" spans="1:56" s="21" customFormat="1" x14ac:dyDescent="0.2">
      <c r="A13" s="66">
        <v>23</v>
      </c>
      <c r="B13" s="66" t="s">
        <v>423</v>
      </c>
      <c r="C13" s="66" t="s">
        <v>424</v>
      </c>
      <c r="D13" s="66">
        <v>202</v>
      </c>
      <c r="E13" s="66">
        <v>30167734</v>
      </c>
      <c r="F13" s="66" t="s">
        <v>468</v>
      </c>
      <c r="G13" s="66"/>
      <c r="H13" s="66" t="s">
        <v>422</v>
      </c>
      <c r="I13" s="66">
        <v>1</v>
      </c>
      <c r="J13" s="66" t="s">
        <v>426</v>
      </c>
      <c r="K13" s="67">
        <v>20.41</v>
      </c>
      <c r="L13" s="68" t="s">
        <v>440</v>
      </c>
      <c r="M13" s="66" t="s">
        <v>427</v>
      </c>
      <c r="N13" s="66" t="s">
        <v>428</v>
      </c>
      <c r="O13" s="66"/>
      <c r="P13" s="66"/>
      <c r="Q13" s="66"/>
      <c r="R13" s="66" t="s">
        <v>469</v>
      </c>
      <c r="S13" s="66" t="s">
        <v>430</v>
      </c>
      <c r="T13" s="66" t="s">
        <v>431</v>
      </c>
      <c r="U13" s="66"/>
      <c r="V13" s="66"/>
      <c r="W13" s="66" t="s">
        <v>425</v>
      </c>
      <c r="X13" s="66"/>
      <c r="Y13" s="66" t="s">
        <v>470</v>
      </c>
      <c r="Z13" s="66" t="s">
        <v>36</v>
      </c>
      <c r="AA13" s="66" t="s">
        <v>37</v>
      </c>
      <c r="AB13" s="66" t="s">
        <v>18</v>
      </c>
      <c r="AC13" s="66">
        <v>10576</v>
      </c>
      <c r="AD13" s="66" t="s">
        <v>432</v>
      </c>
      <c r="AE13" s="66">
        <v>2405014792</v>
      </c>
      <c r="AF13" s="66" t="s">
        <v>433</v>
      </c>
      <c r="AG13" s="66">
        <v>21</v>
      </c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>
        <v>86</v>
      </c>
      <c r="AX13" s="66"/>
      <c r="AY13" s="66" t="s">
        <v>425</v>
      </c>
      <c r="AZ13" s="66">
        <v>10</v>
      </c>
      <c r="BA13" s="66" t="s">
        <v>434</v>
      </c>
      <c r="BB13" s="66"/>
      <c r="BC13" s="66" t="s">
        <v>435</v>
      </c>
      <c r="BD13" s="66">
        <v>6</v>
      </c>
    </row>
    <row r="14" spans="1:56" s="21" customFormat="1" x14ac:dyDescent="0.2">
      <c r="A14" s="66">
        <v>23</v>
      </c>
      <c r="B14" s="66" t="s">
        <v>423</v>
      </c>
      <c r="C14" s="66" t="s">
        <v>424</v>
      </c>
      <c r="D14" s="66">
        <v>202</v>
      </c>
      <c r="E14" s="66">
        <v>30167734</v>
      </c>
      <c r="F14" s="66" t="s">
        <v>471</v>
      </c>
      <c r="G14" s="66"/>
      <c r="H14" s="66" t="s">
        <v>422</v>
      </c>
      <c r="I14" s="66">
        <v>1</v>
      </c>
      <c r="J14" s="66" t="s">
        <v>426</v>
      </c>
      <c r="K14" s="67">
        <v>13.61</v>
      </c>
      <c r="L14" s="68" t="s">
        <v>436</v>
      </c>
      <c r="M14" s="66" t="s">
        <v>427</v>
      </c>
      <c r="N14" s="66" t="s">
        <v>428</v>
      </c>
      <c r="O14" s="66"/>
      <c r="P14" s="66"/>
      <c r="Q14" s="66"/>
      <c r="R14" s="66" t="s">
        <v>472</v>
      </c>
      <c r="S14" s="66" t="s">
        <v>430</v>
      </c>
      <c r="T14" s="66" t="s">
        <v>431</v>
      </c>
      <c r="U14" s="66"/>
      <c r="V14" s="66"/>
      <c r="W14" s="66" t="s">
        <v>425</v>
      </c>
      <c r="X14" s="66"/>
      <c r="Y14" s="66" t="s">
        <v>473</v>
      </c>
      <c r="Z14" s="66" t="s">
        <v>38</v>
      </c>
      <c r="AA14" s="66" t="s">
        <v>39</v>
      </c>
      <c r="AB14" s="66" t="s">
        <v>18</v>
      </c>
      <c r="AC14" s="66">
        <v>10549</v>
      </c>
      <c r="AD14" s="66" t="s">
        <v>432</v>
      </c>
      <c r="AE14" s="66">
        <v>2402179552</v>
      </c>
      <c r="AF14" s="66" t="s">
        <v>433</v>
      </c>
      <c r="AG14" s="66">
        <v>21</v>
      </c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>
        <v>86</v>
      </c>
      <c r="AX14" s="66"/>
      <c r="AY14" s="66" t="s">
        <v>425</v>
      </c>
      <c r="AZ14" s="66">
        <v>9</v>
      </c>
      <c r="BA14" s="66" t="s">
        <v>434</v>
      </c>
      <c r="BB14" s="66"/>
      <c r="BC14" s="66" t="s">
        <v>435</v>
      </c>
      <c r="BD14" s="66">
        <v>7</v>
      </c>
    </row>
    <row r="15" spans="1:56" s="21" customFormat="1" ht="14.25" customHeight="1" x14ac:dyDescent="0.2">
      <c r="A15" s="66">
        <v>23</v>
      </c>
      <c r="B15" s="66" t="s">
        <v>423</v>
      </c>
      <c r="C15" s="66" t="s">
        <v>424</v>
      </c>
      <c r="D15" s="66">
        <v>202</v>
      </c>
      <c r="E15" s="66">
        <v>30167734</v>
      </c>
      <c r="F15" s="66" t="s">
        <v>474</v>
      </c>
      <c r="G15" s="66"/>
      <c r="H15" s="66" t="s">
        <v>422</v>
      </c>
      <c r="I15" s="66">
        <v>1</v>
      </c>
      <c r="J15" s="66" t="s">
        <v>426</v>
      </c>
      <c r="K15" s="67">
        <v>20.41</v>
      </c>
      <c r="L15" s="68" t="s">
        <v>444</v>
      </c>
      <c r="M15" s="66" t="s">
        <v>427</v>
      </c>
      <c r="N15" s="66" t="s">
        <v>428</v>
      </c>
      <c r="O15" s="66"/>
      <c r="P15" s="66"/>
      <c r="Q15" s="66"/>
      <c r="R15" s="66" t="s">
        <v>475</v>
      </c>
      <c r="S15" s="66" t="s">
        <v>430</v>
      </c>
      <c r="T15" s="66" t="s">
        <v>431</v>
      </c>
      <c r="U15" s="66"/>
      <c r="V15" s="66"/>
      <c r="W15" s="66" t="s">
        <v>425</v>
      </c>
      <c r="X15" s="66"/>
      <c r="Y15" s="66" t="s">
        <v>476</v>
      </c>
      <c r="Z15" s="66" t="s">
        <v>40</v>
      </c>
      <c r="AA15" s="66" t="s">
        <v>39</v>
      </c>
      <c r="AB15" s="66" t="s">
        <v>18</v>
      </c>
      <c r="AC15" s="66">
        <v>10549</v>
      </c>
      <c r="AD15" s="66" t="s">
        <v>432</v>
      </c>
      <c r="AE15" s="66">
        <v>2403348702</v>
      </c>
      <c r="AF15" s="66" t="s">
        <v>433</v>
      </c>
      <c r="AG15" s="66">
        <v>21</v>
      </c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>
        <v>86</v>
      </c>
      <c r="AX15" s="66"/>
      <c r="AY15" s="66" t="s">
        <v>425</v>
      </c>
      <c r="AZ15" s="66">
        <v>10</v>
      </c>
      <c r="BA15" s="66" t="s">
        <v>434</v>
      </c>
      <c r="BB15" s="66"/>
      <c r="BC15" s="66" t="s">
        <v>435</v>
      </c>
      <c r="BD15" s="66">
        <v>7</v>
      </c>
    </row>
    <row r="16" spans="1:56" s="21" customFormat="1" ht="13.5" customHeight="1" x14ac:dyDescent="0.2">
      <c r="A16" s="66">
        <v>23</v>
      </c>
      <c r="B16" s="66" t="s">
        <v>423</v>
      </c>
      <c r="C16" s="66" t="s">
        <v>424</v>
      </c>
      <c r="D16" s="66">
        <v>202</v>
      </c>
      <c r="E16" s="66">
        <v>30167734</v>
      </c>
      <c r="F16" s="66" t="s">
        <v>477</v>
      </c>
      <c r="G16" s="66"/>
      <c r="H16" s="66" t="s">
        <v>422</v>
      </c>
      <c r="I16" s="66">
        <v>1</v>
      </c>
      <c r="J16" s="66" t="s">
        <v>426</v>
      </c>
      <c r="K16" s="67">
        <v>20.41</v>
      </c>
      <c r="L16" s="68" t="s">
        <v>440</v>
      </c>
      <c r="M16" s="66" t="s">
        <v>427</v>
      </c>
      <c r="N16" s="66" t="s">
        <v>428</v>
      </c>
      <c r="O16" s="66"/>
      <c r="P16" s="66"/>
      <c r="Q16" s="66"/>
      <c r="R16" s="66" t="s">
        <v>478</v>
      </c>
      <c r="S16" s="66" t="s">
        <v>430</v>
      </c>
      <c r="T16" s="66" t="s">
        <v>431</v>
      </c>
      <c r="U16" s="66"/>
      <c r="V16" s="66"/>
      <c r="W16" s="66" t="s">
        <v>425</v>
      </c>
      <c r="X16" s="66"/>
      <c r="Y16" s="66" t="s">
        <v>479</v>
      </c>
      <c r="Z16" s="66" t="s">
        <v>41</v>
      </c>
      <c r="AA16" s="66" t="s">
        <v>39</v>
      </c>
      <c r="AB16" s="66" t="s">
        <v>18</v>
      </c>
      <c r="AC16" s="66">
        <v>10549</v>
      </c>
      <c r="AD16" s="66" t="s">
        <v>432</v>
      </c>
      <c r="AE16" s="66">
        <v>2403352750</v>
      </c>
      <c r="AF16" s="66" t="s">
        <v>433</v>
      </c>
      <c r="AG16" s="66">
        <v>21</v>
      </c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>
        <v>86</v>
      </c>
      <c r="AX16" s="66"/>
      <c r="AY16" s="66" t="s">
        <v>425</v>
      </c>
      <c r="AZ16" s="66">
        <v>10</v>
      </c>
      <c r="BA16" s="66" t="s">
        <v>434</v>
      </c>
      <c r="BB16" s="66"/>
      <c r="BC16" s="66" t="s">
        <v>435</v>
      </c>
      <c r="BD16" s="66">
        <v>8</v>
      </c>
    </row>
    <row r="17" spans="1:56" s="21" customFormat="1" x14ac:dyDescent="0.2">
      <c r="A17" s="66">
        <v>23</v>
      </c>
      <c r="B17" s="66" t="s">
        <v>423</v>
      </c>
      <c r="C17" s="66" t="s">
        <v>424</v>
      </c>
      <c r="D17" s="66">
        <v>202</v>
      </c>
      <c r="E17" s="66">
        <v>30167734</v>
      </c>
      <c r="F17" s="66" t="s">
        <v>480</v>
      </c>
      <c r="G17" s="66"/>
      <c r="H17" s="66" t="s">
        <v>422</v>
      </c>
      <c r="I17" s="66">
        <v>1</v>
      </c>
      <c r="J17" s="66" t="s">
        <v>426</v>
      </c>
      <c r="K17" s="67">
        <v>13.61</v>
      </c>
      <c r="L17" s="68" t="s">
        <v>452</v>
      </c>
      <c r="M17" s="66" t="s">
        <v>427</v>
      </c>
      <c r="N17" s="66" t="s">
        <v>428</v>
      </c>
      <c r="O17" s="66"/>
      <c r="P17" s="66"/>
      <c r="Q17" s="66"/>
      <c r="R17" s="66" t="s">
        <v>481</v>
      </c>
      <c r="S17" s="66" t="s">
        <v>430</v>
      </c>
      <c r="T17" s="66" t="s">
        <v>431</v>
      </c>
      <c r="U17" s="66"/>
      <c r="V17" s="66"/>
      <c r="W17" s="66" t="s">
        <v>425</v>
      </c>
      <c r="X17" s="66"/>
      <c r="Y17" s="66" t="s">
        <v>482</v>
      </c>
      <c r="Z17" s="66" t="s">
        <v>42</v>
      </c>
      <c r="AA17" s="66" t="s">
        <v>28</v>
      </c>
      <c r="AB17" s="66" t="s">
        <v>18</v>
      </c>
      <c r="AC17" s="66">
        <v>10549</v>
      </c>
      <c r="AD17" s="66" t="s">
        <v>432</v>
      </c>
      <c r="AE17" s="66">
        <v>2400588872</v>
      </c>
      <c r="AF17" s="66" t="s">
        <v>433</v>
      </c>
      <c r="AG17" s="66">
        <v>21</v>
      </c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>
        <v>86</v>
      </c>
      <c r="AX17" s="66"/>
      <c r="AY17" s="66" t="s">
        <v>425</v>
      </c>
      <c r="AZ17" s="66">
        <v>9</v>
      </c>
      <c r="BA17" s="66" t="s">
        <v>434</v>
      </c>
      <c r="BB17" s="66"/>
      <c r="BC17" s="66" t="s">
        <v>435</v>
      </c>
      <c r="BD17" s="66">
        <v>8</v>
      </c>
    </row>
    <row r="18" spans="1:56" s="21" customFormat="1" x14ac:dyDescent="0.2">
      <c r="A18" s="66">
        <v>23</v>
      </c>
      <c r="B18" s="66" t="s">
        <v>423</v>
      </c>
      <c r="C18" s="66" t="s">
        <v>424</v>
      </c>
      <c r="D18" s="66">
        <v>202</v>
      </c>
      <c r="E18" s="66">
        <v>30167734</v>
      </c>
      <c r="F18" s="66" t="s">
        <v>483</v>
      </c>
      <c r="G18" s="66"/>
      <c r="H18" s="66" t="s">
        <v>422</v>
      </c>
      <c r="I18" s="66">
        <v>1</v>
      </c>
      <c r="J18" s="66" t="s">
        <v>426</v>
      </c>
      <c r="K18" s="67">
        <v>20.41</v>
      </c>
      <c r="L18" s="68" t="s">
        <v>444</v>
      </c>
      <c r="M18" s="66" t="s">
        <v>427</v>
      </c>
      <c r="N18" s="66" t="s">
        <v>428</v>
      </c>
      <c r="O18" s="66"/>
      <c r="P18" s="66"/>
      <c r="Q18" s="66"/>
      <c r="R18" s="66" t="s">
        <v>484</v>
      </c>
      <c r="S18" s="66" t="s">
        <v>430</v>
      </c>
      <c r="T18" s="66" t="s">
        <v>431</v>
      </c>
      <c r="U18" s="66"/>
      <c r="V18" s="66"/>
      <c r="W18" s="66" t="s">
        <v>425</v>
      </c>
      <c r="X18" s="66"/>
      <c r="Y18" s="66" t="s">
        <v>485</v>
      </c>
      <c r="Z18" s="66" t="s">
        <v>43</v>
      </c>
      <c r="AA18" s="66" t="s">
        <v>28</v>
      </c>
      <c r="AB18" s="66" t="s">
        <v>18</v>
      </c>
      <c r="AC18" s="66">
        <v>10549</v>
      </c>
      <c r="AD18" s="66" t="s">
        <v>432</v>
      </c>
      <c r="AE18" s="66">
        <v>2406655440</v>
      </c>
      <c r="AF18" s="66" t="s">
        <v>433</v>
      </c>
      <c r="AG18" s="66">
        <v>21</v>
      </c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>
        <v>86</v>
      </c>
      <c r="AX18" s="66"/>
      <c r="AY18" s="66" t="s">
        <v>425</v>
      </c>
      <c r="AZ18" s="66">
        <v>10</v>
      </c>
      <c r="BA18" s="66" t="s">
        <v>434</v>
      </c>
      <c r="BB18" s="66"/>
      <c r="BC18" s="66" t="s">
        <v>435</v>
      </c>
      <c r="BD18" s="66">
        <v>9</v>
      </c>
    </row>
    <row r="19" spans="1:56" s="21" customFormat="1" x14ac:dyDescent="0.2">
      <c r="A19" s="66">
        <v>23</v>
      </c>
      <c r="B19" s="66" t="s">
        <v>423</v>
      </c>
      <c r="C19" s="66" t="s">
        <v>424</v>
      </c>
      <c r="D19" s="66">
        <v>202</v>
      </c>
      <c r="E19" s="66">
        <v>30167734</v>
      </c>
      <c r="F19" s="66" t="s">
        <v>486</v>
      </c>
      <c r="G19" s="66"/>
      <c r="H19" s="66" t="s">
        <v>422</v>
      </c>
      <c r="I19" s="66">
        <v>1</v>
      </c>
      <c r="J19" s="66" t="s">
        <v>426</v>
      </c>
      <c r="K19" s="67">
        <v>27.22</v>
      </c>
      <c r="L19" s="68" t="s">
        <v>489</v>
      </c>
      <c r="M19" s="66" t="s">
        <v>427</v>
      </c>
      <c r="N19" s="66" t="s">
        <v>428</v>
      </c>
      <c r="O19" s="66"/>
      <c r="P19" s="66"/>
      <c r="Q19" s="66"/>
      <c r="R19" s="66" t="s">
        <v>487</v>
      </c>
      <c r="S19" s="66" t="s">
        <v>430</v>
      </c>
      <c r="T19" s="66" t="s">
        <v>431</v>
      </c>
      <c r="U19" s="66"/>
      <c r="V19" s="66"/>
      <c r="W19" s="66" t="s">
        <v>425</v>
      </c>
      <c r="X19" s="66"/>
      <c r="Y19" s="66" t="s">
        <v>488</v>
      </c>
      <c r="Z19" s="66" t="s">
        <v>44</v>
      </c>
      <c r="AA19" s="66" t="s">
        <v>28</v>
      </c>
      <c r="AB19" s="66" t="s">
        <v>18</v>
      </c>
      <c r="AC19" s="66">
        <v>10509</v>
      </c>
      <c r="AD19" s="66" t="s">
        <v>432</v>
      </c>
      <c r="AE19" s="66">
        <v>2402152550</v>
      </c>
      <c r="AF19" s="66" t="s">
        <v>433</v>
      </c>
      <c r="AG19" s="66">
        <v>21</v>
      </c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>
        <v>86</v>
      </c>
      <c r="AX19" s="66"/>
      <c r="AY19" s="66" t="s">
        <v>425</v>
      </c>
      <c r="AZ19" s="66">
        <v>12</v>
      </c>
      <c r="BA19" s="66" t="s">
        <v>434</v>
      </c>
      <c r="BB19" s="66"/>
      <c r="BC19" s="66" t="s">
        <v>435</v>
      </c>
      <c r="BD19" s="66">
        <v>10</v>
      </c>
    </row>
    <row r="20" spans="1:56" s="21" customFormat="1" x14ac:dyDescent="0.2">
      <c r="A20" s="66">
        <v>23</v>
      </c>
      <c r="B20" s="66" t="s">
        <v>423</v>
      </c>
      <c r="C20" s="66" t="s">
        <v>424</v>
      </c>
      <c r="D20" s="66">
        <v>202</v>
      </c>
      <c r="E20" s="66">
        <v>30167734</v>
      </c>
      <c r="F20" s="66" t="s">
        <v>490</v>
      </c>
      <c r="G20" s="66"/>
      <c r="H20" s="66" t="s">
        <v>422</v>
      </c>
      <c r="I20" s="66">
        <v>1</v>
      </c>
      <c r="J20" s="66" t="s">
        <v>426</v>
      </c>
      <c r="K20" s="67">
        <v>20.41</v>
      </c>
      <c r="L20" s="68" t="s">
        <v>436</v>
      </c>
      <c r="M20" s="66" t="s">
        <v>427</v>
      </c>
      <c r="N20" s="66" t="s">
        <v>428</v>
      </c>
      <c r="O20" s="66"/>
      <c r="P20" s="66"/>
      <c r="Q20" s="66"/>
      <c r="R20" s="66" t="s">
        <v>421</v>
      </c>
      <c r="S20" s="66" t="s">
        <v>430</v>
      </c>
      <c r="T20" s="66" t="s">
        <v>431</v>
      </c>
      <c r="U20" s="66"/>
      <c r="V20" s="66"/>
      <c r="W20" s="66" t="s">
        <v>425</v>
      </c>
      <c r="X20" s="66"/>
      <c r="Y20" s="66" t="s">
        <v>491</v>
      </c>
      <c r="Z20" s="66" t="s">
        <v>45</v>
      </c>
      <c r="AA20" s="66" t="s">
        <v>28</v>
      </c>
      <c r="AB20" s="66" t="s">
        <v>18</v>
      </c>
      <c r="AC20" s="66">
        <v>10509</v>
      </c>
      <c r="AD20" s="66" t="s">
        <v>432</v>
      </c>
      <c r="AE20" s="66">
        <v>3012028052</v>
      </c>
      <c r="AF20" s="66" t="s">
        <v>433</v>
      </c>
      <c r="AG20" s="66">
        <v>21</v>
      </c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>
        <v>86</v>
      </c>
      <c r="AX20" s="66"/>
      <c r="AY20" s="66" t="s">
        <v>425</v>
      </c>
      <c r="AZ20" s="66">
        <v>10</v>
      </c>
      <c r="BA20" s="66" t="s">
        <v>434</v>
      </c>
      <c r="BB20" s="66"/>
      <c r="BC20" s="66" t="s">
        <v>435</v>
      </c>
      <c r="BD20" s="66">
        <v>11</v>
      </c>
    </row>
    <row r="21" spans="1:56" s="21" customFormat="1" ht="15.75" customHeight="1" x14ac:dyDescent="0.2">
      <c r="A21" s="66">
        <v>23</v>
      </c>
      <c r="B21" s="66" t="s">
        <v>423</v>
      </c>
      <c r="C21" s="66" t="s">
        <v>424</v>
      </c>
      <c r="D21" s="66">
        <v>202</v>
      </c>
      <c r="E21" s="66">
        <v>30167734</v>
      </c>
      <c r="F21" s="66" t="s">
        <v>492</v>
      </c>
      <c r="G21" s="66"/>
      <c r="H21" s="66" t="s">
        <v>422</v>
      </c>
      <c r="I21" s="66">
        <v>1</v>
      </c>
      <c r="J21" s="66" t="s">
        <v>426</v>
      </c>
      <c r="K21" s="67">
        <v>45.36</v>
      </c>
      <c r="L21" s="68" t="s">
        <v>495</v>
      </c>
      <c r="M21" s="66" t="s">
        <v>427</v>
      </c>
      <c r="N21" s="66" t="s">
        <v>428</v>
      </c>
      <c r="O21" s="66"/>
      <c r="P21" s="66"/>
      <c r="Q21" s="66"/>
      <c r="R21" s="66" t="s">
        <v>493</v>
      </c>
      <c r="S21" s="66" t="s">
        <v>430</v>
      </c>
      <c r="T21" s="66" t="s">
        <v>431</v>
      </c>
      <c r="U21" s="66"/>
      <c r="V21" s="66"/>
      <c r="W21" s="66" t="s">
        <v>425</v>
      </c>
      <c r="X21" s="66"/>
      <c r="Y21" s="66" t="s">
        <v>494</v>
      </c>
      <c r="Z21" s="66" t="s">
        <v>46</v>
      </c>
      <c r="AA21" s="66" t="s">
        <v>28</v>
      </c>
      <c r="AB21" s="66" t="s">
        <v>18</v>
      </c>
      <c r="AC21" s="66">
        <v>10549</v>
      </c>
      <c r="AD21" s="66" t="s">
        <v>432</v>
      </c>
      <c r="AE21" s="66">
        <v>2405121150</v>
      </c>
      <c r="AF21" s="66" t="s">
        <v>433</v>
      </c>
      <c r="AG21" s="66">
        <v>21</v>
      </c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>
        <v>86</v>
      </c>
      <c r="AX21" s="66"/>
      <c r="AY21" s="66" t="s">
        <v>425</v>
      </c>
      <c r="AZ21" s="66">
        <v>16</v>
      </c>
      <c r="BA21" s="66" t="s">
        <v>434</v>
      </c>
      <c r="BB21" s="66"/>
      <c r="BC21" s="66" t="s">
        <v>435</v>
      </c>
      <c r="BD21" s="66">
        <v>12</v>
      </c>
    </row>
    <row r="22" spans="1:56" s="21" customFormat="1" ht="15.75" customHeight="1" x14ac:dyDescent="0.2">
      <c r="A22" s="66">
        <v>23</v>
      </c>
      <c r="B22" s="66" t="s">
        <v>423</v>
      </c>
      <c r="C22" s="66" t="s">
        <v>424</v>
      </c>
      <c r="D22" s="66">
        <v>202</v>
      </c>
      <c r="E22" s="66">
        <v>30167734</v>
      </c>
      <c r="F22" s="66" t="s">
        <v>496</v>
      </c>
      <c r="G22" s="66"/>
      <c r="H22" s="66" t="s">
        <v>422</v>
      </c>
      <c r="I22" s="66">
        <v>1</v>
      </c>
      <c r="J22" s="66" t="s">
        <v>426</v>
      </c>
      <c r="K22" s="67">
        <v>27.22</v>
      </c>
      <c r="L22" s="68" t="s">
        <v>495</v>
      </c>
      <c r="M22" s="66" t="s">
        <v>427</v>
      </c>
      <c r="N22" s="66" t="s">
        <v>428</v>
      </c>
      <c r="O22" s="66"/>
      <c r="P22" s="66"/>
      <c r="Q22" s="66"/>
      <c r="R22" s="66" t="s">
        <v>497</v>
      </c>
      <c r="S22" s="66" t="s">
        <v>430</v>
      </c>
      <c r="T22" s="66" t="s">
        <v>431</v>
      </c>
      <c r="U22" s="66"/>
      <c r="V22" s="66"/>
      <c r="W22" s="66" t="s">
        <v>425</v>
      </c>
      <c r="X22" s="66"/>
      <c r="Y22" s="66" t="s">
        <v>498</v>
      </c>
      <c r="Z22" s="66" t="s">
        <v>47</v>
      </c>
      <c r="AA22" s="66" t="s">
        <v>28</v>
      </c>
      <c r="AB22" s="66" t="s">
        <v>18</v>
      </c>
      <c r="AC22" s="66">
        <v>10549</v>
      </c>
      <c r="AD22" s="66" t="s">
        <v>432</v>
      </c>
      <c r="AE22" s="66">
        <v>2402024295</v>
      </c>
      <c r="AF22" s="66" t="s">
        <v>433</v>
      </c>
      <c r="AG22" s="66">
        <v>21</v>
      </c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>
        <v>86</v>
      </c>
      <c r="AX22" s="66"/>
      <c r="AY22" s="66" t="s">
        <v>425</v>
      </c>
      <c r="AZ22" s="66">
        <v>12</v>
      </c>
      <c r="BA22" s="66" t="s">
        <v>434</v>
      </c>
      <c r="BB22" s="66"/>
      <c r="BC22" s="66" t="s">
        <v>435</v>
      </c>
      <c r="BD22" s="66">
        <v>13</v>
      </c>
    </row>
    <row r="23" spans="1:56" s="21" customFormat="1" x14ac:dyDescent="0.2">
      <c r="A23" s="66">
        <v>23</v>
      </c>
      <c r="B23" s="66" t="s">
        <v>423</v>
      </c>
      <c r="C23" s="66" t="s">
        <v>424</v>
      </c>
      <c r="D23" s="66">
        <v>202</v>
      </c>
      <c r="E23" s="66">
        <v>30167734</v>
      </c>
      <c r="F23" s="66" t="s">
        <v>499</v>
      </c>
      <c r="G23" s="66"/>
      <c r="H23" s="66" t="s">
        <v>422</v>
      </c>
      <c r="I23" s="66">
        <v>1</v>
      </c>
      <c r="J23" s="66" t="s">
        <v>426</v>
      </c>
      <c r="K23" s="67">
        <v>20.41</v>
      </c>
      <c r="L23" s="68" t="s">
        <v>495</v>
      </c>
      <c r="M23" s="66" t="s">
        <v>427</v>
      </c>
      <c r="N23" s="66" t="s">
        <v>428</v>
      </c>
      <c r="O23" s="66"/>
      <c r="P23" s="66"/>
      <c r="Q23" s="66"/>
      <c r="R23" s="66" t="s">
        <v>497</v>
      </c>
      <c r="S23" s="66" t="s">
        <v>430</v>
      </c>
      <c r="T23" s="66" t="s">
        <v>431</v>
      </c>
      <c r="U23" s="66"/>
      <c r="V23" s="66"/>
      <c r="W23" s="66" t="s">
        <v>425</v>
      </c>
      <c r="X23" s="66"/>
      <c r="Y23" s="66" t="s">
        <v>500</v>
      </c>
      <c r="Z23" s="66" t="s">
        <v>48</v>
      </c>
      <c r="AA23" s="66" t="s">
        <v>28</v>
      </c>
      <c r="AB23" s="66" t="s">
        <v>18</v>
      </c>
      <c r="AC23" s="66">
        <v>10549</v>
      </c>
      <c r="AD23" s="66" t="s">
        <v>432</v>
      </c>
      <c r="AE23" s="66">
        <v>2402756662</v>
      </c>
      <c r="AF23" s="66" t="s">
        <v>433</v>
      </c>
      <c r="AG23" s="66">
        <v>21</v>
      </c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>
        <v>86</v>
      </c>
      <c r="AX23" s="66"/>
      <c r="AY23" s="66" t="s">
        <v>425</v>
      </c>
      <c r="AZ23" s="66">
        <v>10</v>
      </c>
      <c r="BA23" s="66" t="s">
        <v>434</v>
      </c>
      <c r="BB23" s="66"/>
      <c r="BC23" s="66" t="s">
        <v>435</v>
      </c>
      <c r="BD23" s="66">
        <v>14</v>
      </c>
    </row>
    <row r="24" spans="1:56" s="21" customFormat="1" ht="30" x14ac:dyDescent="0.2">
      <c r="A24" s="66">
        <v>23</v>
      </c>
      <c r="B24" s="66" t="s">
        <v>423</v>
      </c>
      <c r="C24" s="66" t="s">
        <v>424</v>
      </c>
      <c r="D24" s="66">
        <v>202</v>
      </c>
      <c r="E24" s="66">
        <v>30167734</v>
      </c>
      <c r="F24" s="66" t="s">
        <v>501</v>
      </c>
      <c r="G24" s="66"/>
      <c r="H24" s="66" t="s">
        <v>422</v>
      </c>
      <c r="I24" s="66">
        <v>1</v>
      </c>
      <c r="J24" s="66" t="s">
        <v>426</v>
      </c>
      <c r="K24" s="67">
        <v>22.68</v>
      </c>
      <c r="L24" s="68" t="s">
        <v>504</v>
      </c>
      <c r="M24" s="66" t="s">
        <v>427</v>
      </c>
      <c r="N24" s="66" t="s">
        <v>428</v>
      </c>
      <c r="O24" s="66"/>
      <c r="P24" s="66"/>
      <c r="Q24" s="66"/>
      <c r="R24" s="66" t="s">
        <v>502</v>
      </c>
      <c r="S24" s="66" t="s">
        <v>430</v>
      </c>
      <c r="T24" s="66" t="s">
        <v>431</v>
      </c>
      <c r="U24" s="66"/>
      <c r="V24" s="66"/>
      <c r="W24" s="66" t="s">
        <v>425</v>
      </c>
      <c r="X24" s="66"/>
      <c r="Y24" s="66" t="s">
        <v>503</v>
      </c>
      <c r="Z24" s="66" t="s">
        <v>49</v>
      </c>
      <c r="AA24" s="66" t="s">
        <v>50</v>
      </c>
      <c r="AB24" s="66" t="s">
        <v>18</v>
      </c>
      <c r="AC24" s="66">
        <v>10507</v>
      </c>
      <c r="AD24" s="66" t="s">
        <v>432</v>
      </c>
      <c r="AE24" s="66">
        <v>2405542152</v>
      </c>
      <c r="AF24" s="66" t="s">
        <v>433</v>
      </c>
      <c r="AG24" s="66">
        <v>21</v>
      </c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>
        <v>86</v>
      </c>
      <c r="AX24" s="66"/>
      <c r="AY24" s="66" t="s">
        <v>425</v>
      </c>
      <c r="AZ24" s="66">
        <v>11</v>
      </c>
      <c r="BA24" s="66" t="s">
        <v>434</v>
      </c>
      <c r="BB24" s="66"/>
      <c r="BC24" s="66" t="s">
        <v>435</v>
      </c>
      <c r="BD24" s="66">
        <v>15</v>
      </c>
    </row>
    <row r="25" spans="1:56" s="21" customFormat="1" ht="15.75" customHeight="1" x14ac:dyDescent="0.2">
      <c r="A25" s="66">
        <v>23</v>
      </c>
      <c r="B25" s="66" t="s">
        <v>423</v>
      </c>
      <c r="C25" s="66" t="s">
        <v>424</v>
      </c>
      <c r="D25" s="66">
        <v>202</v>
      </c>
      <c r="E25" s="66">
        <v>30167734</v>
      </c>
      <c r="F25" s="66" t="s">
        <v>505</v>
      </c>
      <c r="G25" s="66"/>
      <c r="H25" s="66" t="s">
        <v>422</v>
      </c>
      <c r="I25" s="66">
        <v>1</v>
      </c>
      <c r="J25" s="66" t="s">
        <v>426</v>
      </c>
      <c r="K25" s="67">
        <v>20.41</v>
      </c>
      <c r="L25" s="68" t="s">
        <v>508</v>
      </c>
      <c r="M25" s="66" t="s">
        <v>427</v>
      </c>
      <c r="N25" s="66" t="s">
        <v>428</v>
      </c>
      <c r="O25" s="66"/>
      <c r="P25" s="66"/>
      <c r="Q25" s="66"/>
      <c r="R25" s="66" t="s">
        <v>507</v>
      </c>
      <c r="S25" s="66" t="s">
        <v>430</v>
      </c>
      <c r="T25" s="66" t="s">
        <v>431</v>
      </c>
      <c r="U25" s="66"/>
      <c r="V25" s="66"/>
      <c r="W25" s="66" t="s">
        <v>425</v>
      </c>
      <c r="X25" s="66"/>
      <c r="Y25" s="66" t="s">
        <v>506</v>
      </c>
      <c r="Z25" s="66" t="s">
        <v>51</v>
      </c>
      <c r="AA25" s="66" t="s">
        <v>28</v>
      </c>
      <c r="AB25" s="66" t="s">
        <v>18</v>
      </c>
      <c r="AC25" s="66">
        <v>10549</v>
      </c>
      <c r="AD25" s="66" t="s">
        <v>432</v>
      </c>
      <c r="AE25" s="66">
        <v>2402176150</v>
      </c>
      <c r="AF25" s="66" t="s">
        <v>433</v>
      </c>
      <c r="AG25" s="66">
        <v>21</v>
      </c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>
        <v>86</v>
      </c>
      <c r="AX25" s="66"/>
      <c r="AY25" s="66" t="s">
        <v>425</v>
      </c>
      <c r="AZ25" s="66">
        <v>10</v>
      </c>
      <c r="BA25" s="66" t="s">
        <v>434</v>
      </c>
      <c r="BB25" s="66"/>
      <c r="BC25" s="66" t="s">
        <v>435</v>
      </c>
      <c r="BD25" s="66">
        <v>16</v>
      </c>
    </row>
    <row r="26" spans="1:56" s="21" customFormat="1" x14ac:dyDescent="0.2">
      <c r="A26" s="66">
        <v>23</v>
      </c>
      <c r="B26" s="66" t="s">
        <v>423</v>
      </c>
      <c r="C26" s="66" t="s">
        <v>424</v>
      </c>
      <c r="D26" s="66">
        <v>202</v>
      </c>
      <c r="E26" s="66">
        <v>30167734</v>
      </c>
      <c r="F26" s="66" t="s">
        <v>509</v>
      </c>
      <c r="G26" s="66"/>
      <c r="H26" s="66" t="s">
        <v>422</v>
      </c>
      <c r="I26" s="66">
        <v>1</v>
      </c>
      <c r="J26" s="66" t="s">
        <v>426</v>
      </c>
      <c r="K26" s="67">
        <v>20.41</v>
      </c>
      <c r="L26" s="68" t="s">
        <v>512</v>
      </c>
      <c r="M26" s="66" t="s">
        <v>427</v>
      </c>
      <c r="N26" s="66" t="s">
        <v>428</v>
      </c>
      <c r="O26" s="66"/>
      <c r="P26" s="66"/>
      <c r="Q26" s="66"/>
      <c r="R26" s="66" t="s">
        <v>510</v>
      </c>
      <c r="S26" s="66" t="s">
        <v>430</v>
      </c>
      <c r="T26" s="66" t="s">
        <v>431</v>
      </c>
      <c r="U26" s="66"/>
      <c r="V26" s="66"/>
      <c r="W26" s="66" t="s">
        <v>425</v>
      </c>
      <c r="X26" s="66"/>
      <c r="Y26" s="66" t="s">
        <v>511</v>
      </c>
      <c r="Z26" s="66" t="s">
        <v>52</v>
      </c>
      <c r="AA26" s="66" t="s">
        <v>28</v>
      </c>
      <c r="AB26" s="66" t="s">
        <v>18</v>
      </c>
      <c r="AC26" s="66">
        <v>10509</v>
      </c>
      <c r="AD26" s="66" t="s">
        <v>432</v>
      </c>
      <c r="AE26" s="66">
        <v>2402252567</v>
      </c>
      <c r="AF26" s="66" t="s">
        <v>433</v>
      </c>
      <c r="AG26" s="66">
        <v>21</v>
      </c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>
        <v>86</v>
      </c>
      <c r="AX26" s="66"/>
      <c r="AY26" s="66" t="s">
        <v>425</v>
      </c>
      <c r="AZ26" s="66">
        <v>10</v>
      </c>
      <c r="BA26" s="66" t="s">
        <v>434</v>
      </c>
      <c r="BB26" s="66"/>
      <c r="BC26" s="66" t="s">
        <v>435</v>
      </c>
      <c r="BD26" s="66">
        <v>16</v>
      </c>
    </row>
    <row r="27" spans="1:56" s="21" customFormat="1" ht="15.75" customHeight="1" x14ac:dyDescent="0.2">
      <c r="A27" s="66">
        <v>23</v>
      </c>
      <c r="B27" s="66" t="s">
        <v>423</v>
      </c>
      <c r="C27" s="66" t="s">
        <v>424</v>
      </c>
      <c r="D27" s="66">
        <v>202</v>
      </c>
      <c r="E27" s="66">
        <v>30167734</v>
      </c>
      <c r="F27" s="66" t="s">
        <v>513</v>
      </c>
      <c r="G27" s="66"/>
      <c r="H27" s="66" t="s">
        <v>422</v>
      </c>
      <c r="I27" s="66">
        <v>1</v>
      </c>
      <c r="J27" s="66" t="s">
        <v>426</v>
      </c>
      <c r="K27" s="67">
        <v>13.61</v>
      </c>
      <c r="L27" s="68" t="s">
        <v>516</v>
      </c>
      <c r="M27" s="66" t="s">
        <v>427</v>
      </c>
      <c r="N27" s="66" t="s">
        <v>428</v>
      </c>
      <c r="O27" s="66"/>
      <c r="P27" s="66"/>
      <c r="Q27" s="66"/>
      <c r="R27" s="66" t="s">
        <v>514</v>
      </c>
      <c r="S27" s="66" t="s">
        <v>430</v>
      </c>
      <c r="T27" s="66" t="s">
        <v>431</v>
      </c>
      <c r="U27" s="66"/>
      <c r="V27" s="66"/>
      <c r="W27" s="66" t="s">
        <v>425</v>
      </c>
      <c r="X27" s="66"/>
      <c r="Y27" s="66" t="s">
        <v>515</v>
      </c>
      <c r="Z27" s="66" t="s">
        <v>53</v>
      </c>
      <c r="AA27" s="66" t="s">
        <v>26</v>
      </c>
      <c r="AB27" s="66" t="s">
        <v>18</v>
      </c>
      <c r="AC27" s="66">
        <v>10509</v>
      </c>
      <c r="AD27" s="66" t="s">
        <v>432</v>
      </c>
      <c r="AE27" s="66">
        <v>2400993012</v>
      </c>
      <c r="AF27" s="66" t="s">
        <v>433</v>
      </c>
      <c r="AG27" s="66">
        <v>21</v>
      </c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>
        <v>86</v>
      </c>
      <c r="AX27" s="66"/>
      <c r="AY27" s="66" t="s">
        <v>425</v>
      </c>
      <c r="AZ27" s="66">
        <v>9</v>
      </c>
      <c r="BA27" s="66" t="s">
        <v>434</v>
      </c>
      <c r="BB27" s="66"/>
      <c r="BC27" s="66" t="s">
        <v>435</v>
      </c>
      <c r="BD27" s="66">
        <v>17</v>
      </c>
    </row>
    <row r="28" spans="1:56" s="21" customFormat="1" ht="14.25" customHeight="1" x14ac:dyDescent="0.2">
      <c r="A28" s="66">
        <v>23</v>
      </c>
      <c r="B28" s="66" t="s">
        <v>423</v>
      </c>
      <c r="C28" s="66" t="s">
        <v>424</v>
      </c>
      <c r="D28" s="66">
        <v>202</v>
      </c>
      <c r="E28" s="66">
        <v>30167734</v>
      </c>
      <c r="F28" s="66" t="s">
        <v>517</v>
      </c>
      <c r="G28" s="66"/>
      <c r="H28" s="66" t="s">
        <v>422</v>
      </c>
      <c r="I28" s="66">
        <v>1</v>
      </c>
      <c r="J28" s="66" t="s">
        <v>426</v>
      </c>
      <c r="K28" s="67">
        <v>20.41</v>
      </c>
      <c r="L28" s="68" t="s">
        <v>520</v>
      </c>
      <c r="M28" s="66" t="s">
        <v>427</v>
      </c>
      <c r="N28" s="66" t="s">
        <v>428</v>
      </c>
      <c r="O28" s="66"/>
      <c r="P28" s="66"/>
      <c r="Q28" s="66"/>
      <c r="R28" s="66" t="s">
        <v>518</v>
      </c>
      <c r="S28" s="66" t="s">
        <v>430</v>
      </c>
      <c r="T28" s="66" t="s">
        <v>431</v>
      </c>
      <c r="U28" s="66"/>
      <c r="V28" s="66"/>
      <c r="W28" s="66" t="s">
        <v>425</v>
      </c>
      <c r="X28" s="66"/>
      <c r="Y28" s="66" t="s">
        <v>519</v>
      </c>
      <c r="Z28" s="66" t="s">
        <v>54</v>
      </c>
      <c r="AA28" s="66" t="s">
        <v>28</v>
      </c>
      <c r="AB28" s="66" t="s">
        <v>18</v>
      </c>
      <c r="AC28" s="66">
        <v>10549</v>
      </c>
      <c r="AD28" s="66" t="s">
        <v>432</v>
      </c>
      <c r="AE28" s="66">
        <v>3146445052</v>
      </c>
      <c r="AF28" s="66" t="s">
        <v>433</v>
      </c>
      <c r="AG28" s="66">
        <v>21</v>
      </c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>
        <v>86</v>
      </c>
      <c r="AX28" s="66"/>
      <c r="AY28" s="66" t="s">
        <v>425</v>
      </c>
      <c r="AZ28" s="66">
        <v>10</v>
      </c>
      <c r="BA28" s="66" t="s">
        <v>434</v>
      </c>
      <c r="BB28" s="66"/>
      <c r="BC28" s="66" t="s">
        <v>435</v>
      </c>
      <c r="BD28" s="66">
        <v>17</v>
      </c>
    </row>
    <row r="29" spans="1:56" s="21" customFormat="1" x14ac:dyDescent="0.2">
      <c r="A29" s="66">
        <v>23</v>
      </c>
      <c r="B29" s="66" t="s">
        <v>423</v>
      </c>
      <c r="C29" s="66" t="s">
        <v>424</v>
      </c>
      <c r="D29" s="66">
        <v>202</v>
      </c>
      <c r="E29" s="66">
        <v>30167734</v>
      </c>
      <c r="F29" s="66" t="s">
        <v>521</v>
      </c>
      <c r="G29" s="66"/>
      <c r="H29" s="66" t="s">
        <v>422</v>
      </c>
      <c r="I29" s="66">
        <v>1</v>
      </c>
      <c r="J29" s="66" t="s">
        <v>426</v>
      </c>
      <c r="K29" s="67">
        <v>20.41</v>
      </c>
      <c r="L29" s="68" t="s">
        <v>524</v>
      </c>
      <c r="M29" s="66" t="s">
        <v>427</v>
      </c>
      <c r="N29" s="66" t="s">
        <v>428</v>
      </c>
      <c r="O29" s="66"/>
      <c r="P29" s="66"/>
      <c r="Q29" s="66"/>
      <c r="R29" s="66" t="s">
        <v>522</v>
      </c>
      <c r="S29" s="66" t="s">
        <v>430</v>
      </c>
      <c r="T29" s="66" t="s">
        <v>431</v>
      </c>
      <c r="U29" s="66"/>
      <c r="V29" s="66"/>
      <c r="W29" s="66" t="s">
        <v>425</v>
      </c>
      <c r="X29" s="66"/>
      <c r="Y29" s="66" t="s">
        <v>523</v>
      </c>
      <c r="Z29" s="66" t="s">
        <v>55</v>
      </c>
      <c r="AA29" s="66" t="s">
        <v>56</v>
      </c>
      <c r="AB29" s="66" t="s">
        <v>18</v>
      </c>
      <c r="AC29" s="66">
        <v>10536</v>
      </c>
      <c r="AD29" s="66" t="s">
        <v>432</v>
      </c>
      <c r="AE29" s="66">
        <v>2403775110</v>
      </c>
      <c r="AF29" s="66" t="s">
        <v>433</v>
      </c>
      <c r="AG29" s="66">
        <v>21</v>
      </c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>
        <v>86</v>
      </c>
      <c r="AX29" s="66"/>
      <c r="AY29" s="66" t="s">
        <v>425</v>
      </c>
      <c r="AZ29" s="66">
        <v>10</v>
      </c>
      <c r="BA29" s="66" t="s">
        <v>434</v>
      </c>
      <c r="BB29" s="66"/>
      <c r="BC29" s="66" t="s">
        <v>435</v>
      </c>
      <c r="BD29" s="66">
        <v>18</v>
      </c>
    </row>
    <row r="30" spans="1:56" s="21" customFormat="1" ht="15" customHeight="1" x14ac:dyDescent="0.2">
      <c r="A30" s="66">
        <v>23</v>
      </c>
      <c r="B30" s="66" t="s">
        <v>423</v>
      </c>
      <c r="C30" s="66" t="s">
        <v>424</v>
      </c>
      <c r="D30" s="66">
        <v>202</v>
      </c>
      <c r="E30" s="66">
        <v>30167734</v>
      </c>
      <c r="F30" s="66" t="s">
        <v>525</v>
      </c>
      <c r="G30" s="66"/>
      <c r="H30" s="66" t="s">
        <v>422</v>
      </c>
      <c r="I30" s="66">
        <v>1</v>
      </c>
      <c r="J30" s="66" t="s">
        <v>426</v>
      </c>
      <c r="K30" s="67">
        <v>20.41</v>
      </c>
      <c r="L30" s="68" t="s">
        <v>528</v>
      </c>
      <c r="M30" s="66" t="s">
        <v>427</v>
      </c>
      <c r="N30" s="66" t="s">
        <v>428</v>
      </c>
      <c r="O30" s="66"/>
      <c r="P30" s="66"/>
      <c r="Q30" s="66"/>
      <c r="R30" s="66" t="s">
        <v>526</v>
      </c>
      <c r="S30" s="66" t="s">
        <v>430</v>
      </c>
      <c r="T30" s="66" t="s">
        <v>431</v>
      </c>
      <c r="U30" s="66"/>
      <c r="V30" s="66"/>
      <c r="W30" s="66" t="s">
        <v>425</v>
      </c>
      <c r="X30" s="66"/>
      <c r="Y30" s="66" t="s">
        <v>527</v>
      </c>
      <c r="Z30" s="66" t="s">
        <v>57</v>
      </c>
      <c r="AA30" s="66" t="s">
        <v>28</v>
      </c>
      <c r="AB30" s="66" t="s">
        <v>18</v>
      </c>
      <c r="AC30" s="66">
        <v>10549</v>
      </c>
      <c r="AD30" s="66" t="s">
        <v>432</v>
      </c>
      <c r="AE30" s="66">
        <v>2406097505</v>
      </c>
      <c r="AF30" s="66" t="s">
        <v>433</v>
      </c>
      <c r="AG30" s="66">
        <v>21</v>
      </c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>
        <v>86</v>
      </c>
      <c r="AX30" s="66"/>
      <c r="AY30" s="66" t="s">
        <v>425</v>
      </c>
      <c r="AZ30" s="66">
        <v>10</v>
      </c>
      <c r="BA30" s="66" t="s">
        <v>434</v>
      </c>
      <c r="BB30" s="66"/>
      <c r="BC30" s="66" t="s">
        <v>435</v>
      </c>
      <c r="BD30" s="66">
        <v>18</v>
      </c>
    </row>
    <row r="31" spans="1:56" s="21" customFormat="1" x14ac:dyDescent="0.2">
      <c r="A31" s="66">
        <v>23</v>
      </c>
      <c r="B31" s="66" t="s">
        <v>423</v>
      </c>
      <c r="C31" s="66" t="s">
        <v>424</v>
      </c>
      <c r="D31" s="66">
        <v>202</v>
      </c>
      <c r="E31" s="66">
        <v>30167734</v>
      </c>
      <c r="F31" s="66" t="s">
        <v>529</v>
      </c>
      <c r="G31" s="66"/>
      <c r="H31" s="66" t="s">
        <v>422</v>
      </c>
      <c r="I31" s="66">
        <v>1</v>
      </c>
      <c r="J31" s="66" t="s">
        <v>426</v>
      </c>
      <c r="K31" s="67">
        <v>20.41</v>
      </c>
      <c r="L31" s="68" t="s">
        <v>532</v>
      </c>
      <c r="M31" s="66" t="s">
        <v>427</v>
      </c>
      <c r="N31" s="66" t="s">
        <v>428</v>
      </c>
      <c r="O31" s="66"/>
      <c r="P31" s="66"/>
      <c r="Q31" s="66"/>
      <c r="R31" s="66" t="s">
        <v>530</v>
      </c>
      <c r="S31" s="66" t="s">
        <v>430</v>
      </c>
      <c r="T31" s="66" t="s">
        <v>431</v>
      </c>
      <c r="U31" s="66"/>
      <c r="V31" s="66"/>
      <c r="W31" s="66" t="s">
        <v>425</v>
      </c>
      <c r="X31" s="66"/>
      <c r="Y31" s="66" t="s">
        <v>531</v>
      </c>
      <c r="Z31" s="66" t="s">
        <v>58</v>
      </c>
      <c r="AA31" s="66" t="s">
        <v>26</v>
      </c>
      <c r="AB31" s="66" t="s">
        <v>18</v>
      </c>
      <c r="AC31" s="66">
        <v>10509</v>
      </c>
      <c r="AD31" s="66" t="s">
        <v>432</v>
      </c>
      <c r="AE31" s="66">
        <v>3198820120</v>
      </c>
      <c r="AF31" s="66" t="s">
        <v>433</v>
      </c>
      <c r="AG31" s="66">
        <v>21</v>
      </c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>
        <v>86</v>
      </c>
      <c r="AX31" s="66"/>
      <c r="AY31" s="66" t="s">
        <v>425</v>
      </c>
      <c r="AZ31" s="66">
        <v>10</v>
      </c>
      <c r="BA31" s="66" t="s">
        <v>434</v>
      </c>
      <c r="BB31" s="66"/>
      <c r="BC31" s="66" t="s">
        <v>435</v>
      </c>
      <c r="BD31" s="66">
        <v>19</v>
      </c>
    </row>
    <row r="32" spans="1:56" s="21" customFormat="1" x14ac:dyDescent="0.2">
      <c r="A32" s="66">
        <v>23</v>
      </c>
      <c r="B32" s="66" t="s">
        <v>423</v>
      </c>
      <c r="C32" s="66" t="s">
        <v>424</v>
      </c>
      <c r="D32" s="66">
        <v>202</v>
      </c>
      <c r="E32" s="66">
        <v>30167734</v>
      </c>
      <c r="F32" s="66" t="s">
        <v>533</v>
      </c>
      <c r="G32" s="66"/>
      <c r="H32" s="66" t="s">
        <v>422</v>
      </c>
      <c r="I32" s="66">
        <v>1</v>
      </c>
      <c r="J32" s="66" t="s">
        <v>426</v>
      </c>
      <c r="K32" s="67">
        <v>13.61</v>
      </c>
      <c r="L32" s="68" t="s">
        <v>536</v>
      </c>
      <c r="M32" s="66" t="s">
        <v>427</v>
      </c>
      <c r="N32" s="66" t="s">
        <v>428</v>
      </c>
      <c r="O32" s="66"/>
      <c r="P32" s="66"/>
      <c r="Q32" s="66"/>
      <c r="R32" s="66" t="s">
        <v>534</v>
      </c>
      <c r="S32" s="66" t="s">
        <v>430</v>
      </c>
      <c r="T32" s="66" t="s">
        <v>431</v>
      </c>
      <c r="U32" s="66"/>
      <c r="V32" s="66"/>
      <c r="W32" s="66" t="s">
        <v>425</v>
      </c>
      <c r="X32" s="66"/>
      <c r="Y32" s="66" t="s">
        <v>535</v>
      </c>
      <c r="Z32" s="66" t="s">
        <v>59</v>
      </c>
      <c r="AA32" s="66" t="s">
        <v>56</v>
      </c>
      <c r="AB32" s="66" t="s">
        <v>18</v>
      </c>
      <c r="AC32" s="66">
        <v>10536</v>
      </c>
      <c r="AD32" s="66" t="s">
        <v>432</v>
      </c>
      <c r="AE32" s="66">
        <v>2409774550</v>
      </c>
      <c r="AF32" s="66" t="s">
        <v>433</v>
      </c>
      <c r="AG32" s="66">
        <v>21</v>
      </c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>
        <v>86</v>
      </c>
      <c r="AX32" s="66"/>
      <c r="AY32" s="66" t="s">
        <v>425</v>
      </c>
      <c r="AZ32" s="66">
        <v>9</v>
      </c>
      <c r="BA32" s="66" t="s">
        <v>434</v>
      </c>
      <c r="BB32" s="66"/>
      <c r="BC32" s="66" t="s">
        <v>435</v>
      </c>
      <c r="BD32" s="66">
        <v>19</v>
      </c>
    </row>
    <row r="33" spans="1:56" s="21" customFormat="1" ht="17.25" customHeight="1" x14ac:dyDescent="0.2">
      <c r="A33" s="66">
        <v>23</v>
      </c>
      <c r="B33" s="66" t="s">
        <v>423</v>
      </c>
      <c r="C33" s="66" t="s">
        <v>424</v>
      </c>
      <c r="D33" s="66">
        <v>202</v>
      </c>
      <c r="E33" s="66">
        <v>30167734</v>
      </c>
      <c r="F33" s="66" t="s">
        <v>537</v>
      </c>
      <c r="G33" s="66"/>
      <c r="H33" s="66" t="s">
        <v>422</v>
      </c>
      <c r="I33" s="66">
        <v>1</v>
      </c>
      <c r="J33" s="66" t="s">
        <v>426</v>
      </c>
      <c r="K33" s="67">
        <v>20.41</v>
      </c>
      <c r="L33" s="68" t="s">
        <v>540</v>
      </c>
      <c r="M33" s="66" t="s">
        <v>427</v>
      </c>
      <c r="N33" s="66" t="s">
        <v>428</v>
      </c>
      <c r="O33" s="66"/>
      <c r="P33" s="66"/>
      <c r="Q33" s="66"/>
      <c r="R33" s="66" t="s">
        <v>538</v>
      </c>
      <c r="S33" s="66" t="s">
        <v>430</v>
      </c>
      <c r="T33" s="66" t="s">
        <v>431</v>
      </c>
      <c r="U33" s="66"/>
      <c r="V33" s="66"/>
      <c r="W33" s="66" t="s">
        <v>425</v>
      </c>
      <c r="X33" s="66"/>
      <c r="Y33" s="66" t="s">
        <v>539</v>
      </c>
      <c r="Z33" s="66" t="s">
        <v>60</v>
      </c>
      <c r="AA33" s="66" t="s">
        <v>26</v>
      </c>
      <c r="AB33" s="66" t="s">
        <v>18</v>
      </c>
      <c r="AC33" s="66">
        <v>10509</v>
      </c>
      <c r="AD33" s="66" t="s">
        <v>432</v>
      </c>
      <c r="AE33" s="66">
        <v>2405006442</v>
      </c>
      <c r="AF33" s="66" t="s">
        <v>433</v>
      </c>
      <c r="AG33" s="66">
        <v>21</v>
      </c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>
        <v>86</v>
      </c>
      <c r="AX33" s="66"/>
      <c r="AY33" s="66" t="s">
        <v>425</v>
      </c>
      <c r="AZ33" s="66">
        <v>10</v>
      </c>
      <c r="BA33" s="66" t="s">
        <v>434</v>
      </c>
      <c r="BB33" s="66"/>
      <c r="BC33" s="66" t="s">
        <v>435</v>
      </c>
      <c r="BD33" s="66">
        <v>20</v>
      </c>
    </row>
    <row r="34" spans="1:56" s="21" customFormat="1" ht="14.25" customHeight="1" x14ac:dyDescent="0.2">
      <c r="A34" s="66">
        <v>23</v>
      </c>
      <c r="B34" s="66" t="s">
        <v>423</v>
      </c>
      <c r="C34" s="66" t="s">
        <v>424</v>
      </c>
      <c r="D34" s="66">
        <v>202</v>
      </c>
      <c r="E34" s="66">
        <v>30167734</v>
      </c>
      <c r="F34" s="66" t="s">
        <v>541</v>
      </c>
      <c r="G34" s="66"/>
      <c r="H34" s="66" t="s">
        <v>422</v>
      </c>
      <c r="I34" s="66">
        <v>1</v>
      </c>
      <c r="J34" s="66" t="s">
        <v>426</v>
      </c>
      <c r="K34" s="67">
        <v>4.54</v>
      </c>
      <c r="L34" s="68" t="s">
        <v>544</v>
      </c>
      <c r="M34" s="66" t="s">
        <v>427</v>
      </c>
      <c r="N34" s="66" t="s">
        <v>428</v>
      </c>
      <c r="O34" s="66"/>
      <c r="P34" s="66"/>
      <c r="Q34" s="66"/>
      <c r="R34" s="66" t="s">
        <v>543</v>
      </c>
      <c r="S34" s="66" t="s">
        <v>430</v>
      </c>
      <c r="T34" s="66" t="s">
        <v>431</v>
      </c>
      <c r="U34" s="66"/>
      <c r="V34" s="66"/>
      <c r="W34" s="66" t="s">
        <v>425</v>
      </c>
      <c r="X34" s="66"/>
      <c r="Y34" s="66" t="s">
        <v>542</v>
      </c>
      <c r="Z34" s="66" t="s">
        <v>61</v>
      </c>
      <c r="AA34" s="66" t="s">
        <v>28</v>
      </c>
      <c r="AB34" s="66" t="s">
        <v>18</v>
      </c>
      <c r="AC34" s="66">
        <v>10549</v>
      </c>
      <c r="AD34" s="66" t="s">
        <v>432</v>
      </c>
      <c r="AE34" s="66">
        <v>2504119550</v>
      </c>
      <c r="AF34" s="66" t="s">
        <v>433</v>
      </c>
      <c r="AG34" s="66">
        <v>21</v>
      </c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>
        <v>86</v>
      </c>
      <c r="AX34" s="66"/>
      <c r="AY34" s="66" t="s">
        <v>425</v>
      </c>
      <c r="AZ34" s="66">
        <v>7</v>
      </c>
      <c r="BA34" s="66" t="s">
        <v>434</v>
      </c>
      <c r="BB34" s="66"/>
      <c r="BC34" s="66" t="s">
        <v>435</v>
      </c>
      <c r="BD34" s="66">
        <v>20</v>
      </c>
    </row>
    <row r="35" spans="1:56" s="21" customFormat="1" ht="15.75" customHeight="1" x14ac:dyDescent="0.2">
      <c r="A35" s="66">
        <v>23</v>
      </c>
      <c r="B35" s="66" t="s">
        <v>423</v>
      </c>
      <c r="C35" s="66" t="s">
        <v>424</v>
      </c>
      <c r="D35" s="66">
        <v>202</v>
      </c>
      <c r="E35" s="66">
        <v>30167734</v>
      </c>
      <c r="F35" s="66" t="s">
        <v>545</v>
      </c>
      <c r="G35" s="66"/>
      <c r="H35" s="66" t="s">
        <v>422</v>
      </c>
      <c r="I35" s="66">
        <v>1</v>
      </c>
      <c r="J35" s="66" t="s">
        <v>426</v>
      </c>
      <c r="K35" s="67">
        <v>19.96</v>
      </c>
      <c r="L35" s="68" t="s">
        <v>548</v>
      </c>
      <c r="M35" s="66" t="s">
        <v>427</v>
      </c>
      <c r="N35" s="66" t="s">
        <v>428</v>
      </c>
      <c r="O35" s="66"/>
      <c r="P35" s="66"/>
      <c r="Q35" s="66"/>
      <c r="R35" s="66" t="s">
        <v>546</v>
      </c>
      <c r="S35" s="66" t="s">
        <v>430</v>
      </c>
      <c r="T35" s="66" t="s">
        <v>431</v>
      </c>
      <c r="U35" s="66"/>
      <c r="V35" s="66"/>
      <c r="W35" s="66" t="s">
        <v>425</v>
      </c>
      <c r="X35" s="66"/>
      <c r="Y35" s="66" t="s">
        <v>547</v>
      </c>
      <c r="Z35" s="66" t="s">
        <v>62</v>
      </c>
      <c r="AA35" s="66" t="s">
        <v>28</v>
      </c>
      <c r="AB35" s="66" t="s">
        <v>18</v>
      </c>
      <c r="AC35" s="66">
        <v>10549</v>
      </c>
      <c r="AD35" s="66" t="s">
        <v>432</v>
      </c>
      <c r="AE35" s="66">
        <v>2406662205</v>
      </c>
      <c r="AF35" s="66" t="s">
        <v>433</v>
      </c>
      <c r="AG35" s="66">
        <v>21</v>
      </c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>
        <v>86</v>
      </c>
      <c r="AX35" s="66"/>
      <c r="AY35" s="66" t="s">
        <v>425</v>
      </c>
      <c r="AZ35" s="66">
        <v>10</v>
      </c>
      <c r="BA35" s="66" t="s">
        <v>434</v>
      </c>
      <c r="BB35" s="66"/>
      <c r="BC35" s="66" t="s">
        <v>435</v>
      </c>
      <c r="BD35" s="66">
        <v>21</v>
      </c>
    </row>
    <row r="36" spans="1:56" s="21" customFormat="1" ht="14.25" customHeight="1" x14ac:dyDescent="0.2">
      <c r="A36" s="66">
        <v>23</v>
      </c>
      <c r="B36" s="66" t="s">
        <v>423</v>
      </c>
      <c r="C36" s="66" t="s">
        <v>424</v>
      </c>
      <c r="D36" s="66">
        <v>202</v>
      </c>
      <c r="E36" s="66">
        <v>30167734</v>
      </c>
      <c r="F36" s="66" t="s">
        <v>549</v>
      </c>
      <c r="G36" s="66"/>
      <c r="H36" s="66" t="s">
        <v>422</v>
      </c>
      <c r="I36" s="66">
        <v>1</v>
      </c>
      <c r="J36" s="66" t="s">
        <v>426</v>
      </c>
      <c r="K36" s="67">
        <v>13.61</v>
      </c>
      <c r="L36" s="68" t="s">
        <v>495</v>
      </c>
      <c r="M36" s="66" t="s">
        <v>427</v>
      </c>
      <c r="N36" s="66" t="s">
        <v>428</v>
      </c>
      <c r="O36" s="66"/>
      <c r="P36" s="66"/>
      <c r="Q36" s="66"/>
      <c r="R36" s="66" t="s">
        <v>550</v>
      </c>
      <c r="S36" s="66" t="s">
        <v>430</v>
      </c>
      <c r="T36" s="66" t="s">
        <v>431</v>
      </c>
      <c r="U36" s="66"/>
      <c r="V36" s="66"/>
      <c r="W36" s="66" t="s">
        <v>425</v>
      </c>
      <c r="X36" s="66"/>
      <c r="Y36" s="66" t="s">
        <v>551</v>
      </c>
      <c r="Z36" s="66" t="s">
        <v>63</v>
      </c>
      <c r="AA36" s="66" t="s">
        <v>64</v>
      </c>
      <c r="AB36" s="66" t="s">
        <v>18</v>
      </c>
      <c r="AC36" s="66">
        <v>10514</v>
      </c>
      <c r="AD36" s="66" t="s">
        <v>432</v>
      </c>
      <c r="AE36" s="66">
        <v>2408552001</v>
      </c>
      <c r="AF36" s="66" t="s">
        <v>433</v>
      </c>
      <c r="AG36" s="66">
        <v>21</v>
      </c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>
        <v>86</v>
      </c>
      <c r="AX36" s="66"/>
      <c r="AY36" s="66" t="s">
        <v>425</v>
      </c>
      <c r="AZ36" s="66">
        <v>9</v>
      </c>
      <c r="BA36" s="66" t="s">
        <v>434</v>
      </c>
      <c r="BB36" s="66"/>
      <c r="BC36" s="66" t="s">
        <v>435</v>
      </c>
      <c r="BD36" s="66">
        <v>21</v>
      </c>
    </row>
    <row r="37" spans="1:56" s="21" customFormat="1" x14ac:dyDescent="0.2">
      <c r="A37" s="66">
        <v>23</v>
      </c>
      <c r="B37" s="66" t="s">
        <v>423</v>
      </c>
      <c r="C37" s="66" t="s">
        <v>424</v>
      </c>
      <c r="D37" s="66">
        <v>202</v>
      </c>
      <c r="E37" s="66">
        <v>30167734</v>
      </c>
      <c r="F37" s="66" t="s">
        <v>552</v>
      </c>
      <c r="G37" s="66"/>
      <c r="H37" s="66" t="s">
        <v>422</v>
      </c>
      <c r="I37" s="66">
        <v>1</v>
      </c>
      <c r="J37" s="66" t="s">
        <v>426</v>
      </c>
      <c r="K37" s="67">
        <v>4.08</v>
      </c>
      <c r="L37" s="68" t="s">
        <v>544</v>
      </c>
      <c r="M37" s="66" t="s">
        <v>427</v>
      </c>
      <c r="N37" s="66" t="s">
        <v>428</v>
      </c>
      <c r="O37" s="66"/>
      <c r="P37" s="66"/>
      <c r="Q37" s="66"/>
      <c r="R37" s="66" t="s">
        <v>553</v>
      </c>
      <c r="S37" s="66" t="s">
        <v>430</v>
      </c>
      <c r="T37" s="66" t="s">
        <v>431</v>
      </c>
      <c r="U37" s="66"/>
      <c r="V37" s="66"/>
      <c r="W37" s="66" t="s">
        <v>425</v>
      </c>
      <c r="X37" s="66"/>
      <c r="Y37" s="66" t="s">
        <v>554</v>
      </c>
      <c r="Z37" s="66" t="s">
        <v>65</v>
      </c>
      <c r="AA37" s="66" t="s">
        <v>28</v>
      </c>
      <c r="AB37" s="66" t="s">
        <v>18</v>
      </c>
      <c r="AC37" s="66">
        <v>10549</v>
      </c>
      <c r="AD37" s="66" t="s">
        <v>432</v>
      </c>
      <c r="AE37" s="66">
        <v>7144556650</v>
      </c>
      <c r="AF37" s="66" t="s">
        <v>433</v>
      </c>
      <c r="AG37" s="66">
        <v>21</v>
      </c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>
        <v>86</v>
      </c>
      <c r="AX37" s="66"/>
      <c r="AY37" s="66" t="s">
        <v>425</v>
      </c>
      <c r="AZ37" s="66">
        <v>6</v>
      </c>
      <c r="BA37" s="66" t="s">
        <v>434</v>
      </c>
      <c r="BB37" s="66"/>
      <c r="BC37" s="66" t="s">
        <v>435</v>
      </c>
      <c r="BD37" s="66">
        <v>22</v>
      </c>
    </row>
    <row r="38" spans="1:56" s="21" customFormat="1" ht="15" customHeight="1" x14ac:dyDescent="0.2">
      <c r="A38" s="66">
        <v>23</v>
      </c>
      <c r="B38" s="66" t="s">
        <v>423</v>
      </c>
      <c r="C38" s="66" t="s">
        <v>424</v>
      </c>
      <c r="D38" s="66">
        <v>202</v>
      </c>
      <c r="E38" s="66">
        <v>30167734</v>
      </c>
      <c r="F38" s="66" t="s">
        <v>555</v>
      </c>
      <c r="G38" s="66"/>
      <c r="H38" s="66" t="s">
        <v>422</v>
      </c>
      <c r="I38" s="66">
        <v>1</v>
      </c>
      <c r="J38" s="66" t="s">
        <v>426</v>
      </c>
      <c r="K38" s="67">
        <v>7.71</v>
      </c>
      <c r="L38" s="68" t="s">
        <v>544</v>
      </c>
      <c r="M38" s="66" t="s">
        <v>427</v>
      </c>
      <c r="N38" s="66" t="s">
        <v>428</v>
      </c>
      <c r="O38" s="66"/>
      <c r="P38" s="66"/>
      <c r="Q38" s="66"/>
      <c r="R38" s="66" t="s">
        <v>556</v>
      </c>
      <c r="S38" s="66" t="s">
        <v>430</v>
      </c>
      <c r="T38" s="66" t="s">
        <v>431</v>
      </c>
      <c r="U38" s="66"/>
      <c r="V38" s="66"/>
      <c r="W38" s="66" t="s">
        <v>425</v>
      </c>
      <c r="X38" s="66"/>
      <c r="Y38" s="66" t="s">
        <v>557</v>
      </c>
      <c r="Z38" s="66" t="s">
        <v>66</v>
      </c>
      <c r="AA38" s="66" t="s">
        <v>22</v>
      </c>
      <c r="AB38" s="66" t="s">
        <v>18</v>
      </c>
      <c r="AC38" s="66">
        <v>10080</v>
      </c>
      <c r="AD38" s="66" t="s">
        <v>432</v>
      </c>
      <c r="AE38" s="66">
        <v>5150268052</v>
      </c>
      <c r="AF38" s="66" t="s">
        <v>433</v>
      </c>
      <c r="AG38" s="66">
        <v>21</v>
      </c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>
        <v>86</v>
      </c>
      <c r="AX38" s="66"/>
      <c r="AY38" s="66" t="s">
        <v>425</v>
      </c>
      <c r="AZ38" s="66">
        <v>7</v>
      </c>
      <c r="BA38" s="66" t="s">
        <v>434</v>
      </c>
      <c r="BB38" s="66"/>
      <c r="BC38" s="66" t="s">
        <v>435</v>
      </c>
      <c r="BD38" s="66">
        <v>22</v>
      </c>
    </row>
    <row r="39" spans="1:56" s="21" customFormat="1" ht="15" customHeight="1" x14ac:dyDescent="0.2">
      <c r="A39" s="66">
        <v>23</v>
      </c>
      <c r="B39" s="66" t="s">
        <v>423</v>
      </c>
      <c r="C39" s="66" t="s">
        <v>424</v>
      </c>
      <c r="D39" s="66">
        <v>202</v>
      </c>
      <c r="E39" s="66">
        <v>30167734</v>
      </c>
      <c r="F39" s="66" t="s">
        <v>558</v>
      </c>
      <c r="G39" s="66"/>
      <c r="H39" s="66" t="s">
        <v>422</v>
      </c>
      <c r="I39" s="66">
        <v>1</v>
      </c>
      <c r="J39" s="66" t="s">
        <v>426</v>
      </c>
      <c r="K39" s="67">
        <v>4.08</v>
      </c>
      <c r="L39" s="68" t="s">
        <v>544</v>
      </c>
      <c r="M39" s="66" t="s">
        <v>427</v>
      </c>
      <c r="N39" s="66" t="s">
        <v>428</v>
      </c>
      <c r="O39" s="66"/>
      <c r="P39" s="66"/>
      <c r="Q39" s="66"/>
      <c r="R39" s="66" t="s">
        <v>559</v>
      </c>
      <c r="S39" s="66" t="s">
        <v>430</v>
      </c>
      <c r="T39" s="66" t="s">
        <v>431</v>
      </c>
      <c r="U39" s="66"/>
      <c r="V39" s="66"/>
      <c r="W39" s="66" t="s">
        <v>425</v>
      </c>
      <c r="X39" s="66"/>
      <c r="Y39" s="66" t="s">
        <v>560</v>
      </c>
      <c r="Z39" s="66" t="s">
        <v>67</v>
      </c>
      <c r="AA39" s="66" t="s">
        <v>26</v>
      </c>
      <c r="AB39" s="66" t="s">
        <v>18</v>
      </c>
      <c r="AC39" s="66">
        <v>10509</v>
      </c>
      <c r="AD39" s="66" t="s">
        <v>432</v>
      </c>
      <c r="AE39" s="66">
        <v>2405524052</v>
      </c>
      <c r="AF39" s="66" t="s">
        <v>433</v>
      </c>
      <c r="AG39" s="66">
        <v>21</v>
      </c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>
        <v>86</v>
      </c>
      <c r="AX39" s="66"/>
      <c r="AY39" s="66" t="s">
        <v>425</v>
      </c>
      <c r="AZ39" s="66">
        <v>6</v>
      </c>
      <c r="BA39" s="66" t="s">
        <v>434</v>
      </c>
      <c r="BB39" s="66"/>
      <c r="BC39" s="66" t="s">
        <v>435</v>
      </c>
      <c r="BD39" s="66">
        <v>23</v>
      </c>
    </row>
    <row r="40" spans="1:56" s="21" customFormat="1" x14ac:dyDescent="0.2">
      <c r="A40" s="66">
        <v>23</v>
      </c>
      <c r="B40" s="66" t="s">
        <v>423</v>
      </c>
      <c r="C40" s="66" t="s">
        <v>424</v>
      </c>
      <c r="D40" s="66">
        <v>202</v>
      </c>
      <c r="E40" s="66">
        <v>30167734</v>
      </c>
      <c r="F40" s="66" t="s">
        <v>561</v>
      </c>
      <c r="G40" s="66"/>
      <c r="H40" s="66" t="s">
        <v>422</v>
      </c>
      <c r="I40" s="66">
        <v>1</v>
      </c>
      <c r="J40" s="66" t="s">
        <v>426</v>
      </c>
      <c r="K40" s="67">
        <v>6.35</v>
      </c>
      <c r="L40" s="68" t="s">
        <v>544</v>
      </c>
      <c r="M40" s="66" t="s">
        <v>427</v>
      </c>
      <c r="N40" s="66" t="s">
        <v>428</v>
      </c>
      <c r="O40" s="66"/>
      <c r="P40" s="66"/>
      <c r="Q40" s="66"/>
      <c r="R40" s="66" t="s">
        <v>562</v>
      </c>
      <c r="S40" s="66" t="s">
        <v>430</v>
      </c>
      <c r="T40" s="66" t="s">
        <v>431</v>
      </c>
      <c r="U40" s="66"/>
      <c r="V40" s="66"/>
      <c r="W40" s="66" t="s">
        <v>425</v>
      </c>
      <c r="X40" s="66"/>
      <c r="Y40" s="66" t="s">
        <v>563</v>
      </c>
      <c r="Z40" s="66" t="s">
        <v>68</v>
      </c>
      <c r="AA40" s="66" t="s">
        <v>28</v>
      </c>
      <c r="AB40" s="66" t="s">
        <v>18</v>
      </c>
      <c r="AC40" s="66">
        <v>10549</v>
      </c>
      <c r="AD40" s="66" t="s">
        <v>432</v>
      </c>
      <c r="AE40" s="66">
        <v>2401115780</v>
      </c>
      <c r="AF40" s="66" t="s">
        <v>433</v>
      </c>
      <c r="AG40" s="66">
        <v>21</v>
      </c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>
        <v>86</v>
      </c>
      <c r="AX40" s="66"/>
      <c r="AY40" s="66" t="s">
        <v>425</v>
      </c>
      <c r="AZ40" s="66">
        <v>7</v>
      </c>
      <c r="BA40" s="66" t="s">
        <v>434</v>
      </c>
      <c r="BB40" s="66"/>
      <c r="BC40" s="66" t="s">
        <v>435</v>
      </c>
      <c r="BD40" s="66">
        <v>23</v>
      </c>
    </row>
    <row r="41" spans="1:56" s="21" customFormat="1" ht="15" customHeight="1" x14ac:dyDescent="0.2">
      <c r="A41" s="66">
        <v>23</v>
      </c>
      <c r="B41" s="66" t="s">
        <v>423</v>
      </c>
      <c r="C41" s="66" t="s">
        <v>424</v>
      </c>
      <c r="D41" s="66">
        <v>202</v>
      </c>
      <c r="E41" s="66">
        <v>30167734</v>
      </c>
      <c r="F41" s="66" t="s">
        <v>564</v>
      </c>
      <c r="G41" s="66"/>
      <c r="H41" s="66" t="s">
        <v>422</v>
      </c>
      <c r="I41" s="66">
        <v>1</v>
      </c>
      <c r="J41" s="66" t="s">
        <v>426</v>
      </c>
      <c r="K41" s="67">
        <v>13.61</v>
      </c>
      <c r="L41" s="68" t="s">
        <v>544</v>
      </c>
      <c r="M41" s="66" t="s">
        <v>427</v>
      </c>
      <c r="N41" s="66" t="s">
        <v>428</v>
      </c>
      <c r="O41" s="66"/>
      <c r="P41" s="66"/>
      <c r="Q41" s="66"/>
      <c r="R41" s="66" t="s">
        <v>565</v>
      </c>
      <c r="S41" s="66" t="s">
        <v>430</v>
      </c>
      <c r="T41" s="66" t="s">
        <v>431</v>
      </c>
      <c r="U41" s="66"/>
      <c r="V41" s="66"/>
      <c r="W41" s="66" t="s">
        <v>425</v>
      </c>
      <c r="X41" s="66"/>
      <c r="Y41" s="66" t="s">
        <v>566</v>
      </c>
      <c r="Z41" s="66" t="s">
        <v>69</v>
      </c>
      <c r="AA41" s="66" t="s">
        <v>70</v>
      </c>
      <c r="AB41" s="66" t="s">
        <v>18</v>
      </c>
      <c r="AC41" s="66">
        <v>10009</v>
      </c>
      <c r="AD41" s="66" t="s">
        <v>432</v>
      </c>
      <c r="AE41" s="66">
        <v>2405561660</v>
      </c>
      <c r="AF41" s="66" t="s">
        <v>433</v>
      </c>
      <c r="AG41" s="66">
        <v>21</v>
      </c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>
        <v>86</v>
      </c>
      <c r="AX41" s="66"/>
      <c r="AY41" s="66" t="s">
        <v>425</v>
      </c>
      <c r="AZ41" s="66">
        <v>9</v>
      </c>
      <c r="BA41" s="66" t="s">
        <v>434</v>
      </c>
      <c r="BB41" s="66"/>
      <c r="BC41" s="66" t="s">
        <v>435</v>
      </c>
      <c r="BD41" s="66">
        <v>24</v>
      </c>
    </row>
    <row r="42" spans="1:56" s="21" customFormat="1" x14ac:dyDescent="0.2">
      <c r="A42" s="66">
        <v>23</v>
      </c>
      <c r="B42" s="66" t="s">
        <v>423</v>
      </c>
      <c r="C42" s="66" t="s">
        <v>424</v>
      </c>
      <c r="D42" s="66">
        <v>202</v>
      </c>
      <c r="E42" s="66">
        <v>30167734</v>
      </c>
      <c r="F42" s="66" t="s">
        <v>567</v>
      </c>
      <c r="G42" s="66"/>
      <c r="H42" s="66" t="s">
        <v>422</v>
      </c>
      <c r="I42" s="66">
        <v>1</v>
      </c>
      <c r="J42" s="66" t="s">
        <v>426</v>
      </c>
      <c r="K42" s="67">
        <v>7.71</v>
      </c>
      <c r="L42" s="68" t="s">
        <v>544</v>
      </c>
      <c r="M42" s="66" t="s">
        <v>427</v>
      </c>
      <c r="N42" s="66" t="s">
        <v>428</v>
      </c>
      <c r="O42" s="66"/>
      <c r="P42" s="66"/>
      <c r="Q42" s="66"/>
      <c r="R42" s="66" t="s">
        <v>568</v>
      </c>
      <c r="S42" s="66" t="s">
        <v>430</v>
      </c>
      <c r="T42" s="66" t="s">
        <v>431</v>
      </c>
      <c r="U42" s="66"/>
      <c r="V42" s="66"/>
      <c r="W42" s="66" t="s">
        <v>425</v>
      </c>
      <c r="X42" s="66"/>
      <c r="Y42" s="66" t="s">
        <v>569</v>
      </c>
      <c r="Z42" s="66" t="s">
        <v>71</v>
      </c>
      <c r="AA42" s="66" t="s">
        <v>70</v>
      </c>
      <c r="AB42" s="66" t="s">
        <v>18</v>
      </c>
      <c r="AC42" s="66">
        <v>10001</v>
      </c>
      <c r="AD42" s="66" t="s">
        <v>432</v>
      </c>
      <c r="AE42" s="66">
        <v>2400663040</v>
      </c>
      <c r="AF42" s="66" t="s">
        <v>433</v>
      </c>
      <c r="AG42" s="66">
        <v>21</v>
      </c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>
        <v>86</v>
      </c>
      <c r="AX42" s="66"/>
      <c r="AY42" s="66" t="s">
        <v>425</v>
      </c>
      <c r="AZ42" s="66">
        <v>7</v>
      </c>
      <c r="BA42" s="66" t="s">
        <v>434</v>
      </c>
      <c r="BB42" s="66"/>
      <c r="BC42" s="66" t="s">
        <v>435</v>
      </c>
      <c r="BD42" s="66">
        <v>24</v>
      </c>
    </row>
    <row r="43" spans="1:56" s="21" customFormat="1" x14ac:dyDescent="0.2">
      <c r="A43" s="66">
        <v>23</v>
      </c>
      <c r="B43" s="66" t="s">
        <v>423</v>
      </c>
      <c r="C43" s="66" t="s">
        <v>424</v>
      </c>
      <c r="D43" s="66">
        <v>202</v>
      </c>
      <c r="E43" s="66">
        <v>30167734</v>
      </c>
      <c r="F43" s="66" t="s">
        <v>570</v>
      </c>
      <c r="G43" s="66"/>
      <c r="H43" s="66" t="s">
        <v>422</v>
      </c>
      <c r="I43" s="66">
        <v>1</v>
      </c>
      <c r="J43" s="66" t="s">
        <v>426</v>
      </c>
      <c r="K43" s="67">
        <v>29.48</v>
      </c>
      <c r="L43" s="68" t="s">
        <v>573</v>
      </c>
      <c r="M43" s="66" t="s">
        <v>427</v>
      </c>
      <c r="N43" s="66" t="s">
        <v>428</v>
      </c>
      <c r="O43" s="66"/>
      <c r="P43" s="66"/>
      <c r="Q43" s="66"/>
      <c r="R43" s="66" t="s">
        <v>571</v>
      </c>
      <c r="S43" s="66" t="s">
        <v>430</v>
      </c>
      <c r="T43" s="66" t="s">
        <v>431</v>
      </c>
      <c r="U43" s="66"/>
      <c r="V43" s="66"/>
      <c r="W43" s="66" t="s">
        <v>425</v>
      </c>
      <c r="X43" s="66"/>
      <c r="Y43" s="66" t="s">
        <v>572</v>
      </c>
      <c r="Z43" s="66" t="s">
        <v>72</v>
      </c>
      <c r="AA43" s="66" t="s">
        <v>28</v>
      </c>
      <c r="AB43" s="66" t="s">
        <v>18</v>
      </c>
      <c r="AC43" s="66">
        <v>10549</v>
      </c>
      <c r="AD43" s="66" t="s">
        <v>432</v>
      </c>
      <c r="AE43" s="66">
        <v>2401476523</v>
      </c>
      <c r="AF43" s="66" t="s">
        <v>433</v>
      </c>
      <c r="AG43" s="66">
        <v>21</v>
      </c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>
        <v>86</v>
      </c>
      <c r="AX43" s="66"/>
      <c r="AY43" s="66" t="s">
        <v>425</v>
      </c>
      <c r="AZ43" s="66">
        <v>12</v>
      </c>
      <c r="BA43" s="66" t="s">
        <v>434</v>
      </c>
      <c r="BB43" s="66"/>
      <c r="BC43" s="66" t="s">
        <v>435</v>
      </c>
      <c r="BD43" s="66">
        <v>25</v>
      </c>
    </row>
    <row r="44" spans="1:56" s="21" customFormat="1" x14ac:dyDescent="0.2">
      <c r="A44" s="66">
        <v>23</v>
      </c>
      <c r="B44" s="66" t="s">
        <v>423</v>
      </c>
      <c r="C44" s="66" t="s">
        <v>424</v>
      </c>
      <c r="D44" s="66">
        <v>202</v>
      </c>
      <c r="E44" s="66">
        <v>30167734</v>
      </c>
      <c r="F44" s="66" t="s">
        <v>574</v>
      </c>
      <c r="G44" s="66"/>
      <c r="H44" s="66" t="s">
        <v>422</v>
      </c>
      <c r="I44" s="66">
        <v>1</v>
      </c>
      <c r="J44" s="66" t="s">
        <v>426</v>
      </c>
      <c r="K44" s="67">
        <v>29.48</v>
      </c>
      <c r="L44" s="68" t="s">
        <v>573</v>
      </c>
      <c r="M44" s="66" t="s">
        <v>427</v>
      </c>
      <c r="N44" s="66" t="s">
        <v>428</v>
      </c>
      <c r="O44" s="66"/>
      <c r="P44" s="66"/>
      <c r="Q44" s="66"/>
      <c r="R44" s="66" t="s">
        <v>575</v>
      </c>
      <c r="S44" s="66" t="s">
        <v>430</v>
      </c>
      <c r="T44" s="66" t="s">
        <v>431</v>
      </c>
      <c r="U44" s="66"/>
      <c r="V44" s="66"/>
      <c r="W44" s="66" t="s">
        <v>425</v>
      </c>
      <c r="X44" s="66"/>
      <c r="Y44" s="66" t="s">
        <v>576</v>
      </c>
      <c r="Z44" s="66" t="s">
        <v>73</v>
      </c>
      <c r="AA44" s="66" t="s">
        <v>28</v>
      </c>
      <c r="AB44" s="66" t="s">
        <v>18</v>
      </c>
      <c r="AC44" s="66">
        <v>10549</v>
      </c>
      <c r="AD44" s="66" t="s">
        <v>432</v>
      </c>
      <c r="AE44" s="66">
        <v>2400334182</v>
      </c>
      <c r="AF44" s="66" t="s">
        <v>433</v>
      </c>
      <c r="AG44" s="66">
        <v>21</v>
      </c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>
        <v>86</v>
      </c>
      <c r="AX44" s="66"/>
      <c r="AY44" s="66" t="s">
        <v>425</v>
      </c>
      <c r="AZ44" s="66">
        <v>12</v>
      </c>
      <c r="BA44" s="66" t="s">
        <v>434</v>
      </c>
      <c r="BB44" s="66"/>
      <c r="BC44" s="66" t="s">
        <v>435</v>
      </c>
      <c r="BD44" s="66">
        <v>26</v>
      </c>
    </row>
    <row r="45" spans="1:56" s="21" customFormat="1" x14ac:dyDescent="0.2">
      <c r="A45" s="66">
        <v>23</v>
      </c>
      <c r="B45" s="66" t="s">
        <v>423</v>
      </c>
      <c r="C45" s="66" t="s">
        <v>424</v>
      </c>
      <c r="D45" s="66">
        <v>202</v>
      </c>
      <c r="E45" s="66">
        <v>30167734</v>
      </c>
      <c r="F45" s="66" t="s">
        <v>577</v>
      </c>
      <c r="G45" s="66"/>
      <c r="H45" s="66" t="s">
        <v>422</v>
      </c>
      <c r="I45" s="66">
        <v>1</v>
      </c>
      <c r="J45" s="66" t="s">
        <v>426</v>
      </c>
      <c r="K45" s="67">
        <v>29.48</v>
      </c>
      <c r="L45" s="68" t="s">
        <v>573</v>
      </c>
      <c r="M45" s="66" t="s">
        <v>427</v>
      </c>
      <c r="N45" s="66" t="s">
        <v>428</v>
      </c>
      <c r="O45" s="66"/>
      <c r="P45" s="66"/>
      <c r="Q45" s="66"/>
      <c r="R45" s="66" t="s">
        <v>578</v>
      </c>
      <c r="S45" s="66" t="s">
        <v>430</v>
      </c>
      <c r="T45" s="66" t="s">
        <v>431</v>
      </c>
      <c r="U45" s="66"/>
      <c r="V45" s="66"/>
      <c r="W45" s="66" t="s">
        <v>425</v>
      </c>
      <c r="X45" s="66"/>
      <c r="Y45" s="66" t="s">
        <v>579</v>
      </c>
      <c r="Z45" s="66" t="s">
        <v>74</v>
      </c>
      <c r="AA45" s="66" t="s">
        <v>28</v>
      </c>
      <c r="AB45" s="66" t="s">
        <v>18</v>
      </c>
      <c r="AC45" s="66">
        <v>10549</v>
      </c>
      <c r="AD45" s="66" t="s">
        <v>432</v>
      </c>
      <c r="AE45" s="66">
        <v>5200406220</v>
      </c>
      <c r="AF45" s="66" t="s">
        <v>433</v>
      </c>
      <c r="AG45" s="66">
        <v>21</v>
      </c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>
        <v>86</v>
      </c>
      <c r="AX45" s="66"/>
      <c r="AY45" s="66" t="s">
        <v>425</v>
      </c>
      <c r="AZ45" s="66">
        <v>12</v>
      </c>
      <c r="BA45" s="66" t="s">
        <v>434</v>
      </c>
      <c r="BB45" s="66"/>
      <c r="BC45" s="66" t="s">
        <v>435</v>
      </c>
      <c r="BD45" s="66">
        <v>27</v>
      </c>
    </row>
    <row r="46" spans="1:56" s="21" customFormat="1" x14ac:dyDescent="0.2">
      <c r="A46" s="66">
        <v>23</v>
      </c>
      <c r="B46" s="66" t="s">
        <v>423</v>
      </c>
      <c r="C46" s="66" t="s">
        <v>424</v>
      </c>
      <c r="D46" s="66">
        <v>202</v>
      </c>
      <c r="E46" s="66">
        <v>30167734</v>
      </c>
      <c r="F46" s="66" t="s">
        <v>580</v>
      </c>
      <c r="G46" s="66"/>
      <c r="H46" s="66" t="s">
        <v>422</v>
      </c>
      <c r="I46" s="66">
        <v>1</v>
      </c>
      <c r="J46" s="66" t="s">
        <v>426</v>
      </c>
      <c r="K46" s="67">
        <v>29.48</v>
      </c>
      <c r="L46" s="68" t="s">
        <v>573</v>
      </c>
      <c r="M46" s="66" t="s">
        <v>427</v>
      </c>
      <c r="N46" s="66" t="s">
        <v>428</v>
      </c>
      <c r="O46" s="66"/>
      <c r="P46" s="66"/>
      <c r="Q46" s="66"/>
      <c r="R46" s="66" t="s">
        <v>581</v>
      </c>
      <c r="S46" s="66" t="s">
        <v>430</v>
      </c>
      <c r="T46" s="66" t="s">
        <v>431</v>
      </c>
      <c r="U46" s="66"/>
      <c r="V46" s="66"/>
      <c r="W46" s="66" t="s">
        <v>425</v>
      </c>
      <c r="X46" s="66"/>
      <c r="Y46" s="66" t="s">
        <v>582</v>
      </c>
      <c r="Z46" s="66" t="s">
        <v>75</v>
      </c>
      <c r="AA46" s="66" t="s">
        <v>28</v>
      </c>
      <c r="AB46" s="66" t="s">
        <v>18</v>
      </c>
      <c r="AC46" s="66">
        <v>10549</v>
      </c>
      <c r="AD46" s="66" t="s">
        <v>432</v>
      </c>
      <c r="AE46" s="66">
        <v>2401379784</v>
      </c>
      <c r="AF46" s="66" t="s">
        <v>433</v>
      </c>
      <c r="AG46" s="66">
        <v>21</v>
      </c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>
        <v>86</v>
      </c>
      <c r="AX46" s="66"/>
      <c r="AY46" s="66" t="s">
        <v>425</v>
      </c>
      <c r="AZ46" s="66">
        <v>12</v>
      </c>
      <c r="BA46" s="66" t="s">
        <v>434</v>
      </c>
      <c r="BB46" s="66"/>
      <c r="BC46" s="66" t="s">
        <v>435</v>
      </c>
      <c r="BD46" s="66">
        <v>28</v>
      </c>
    </row>
    <row r="47" spans="1:56" s="21" customFormat="1" ht="14.25" customHeight="1" x14ac:dyDescent="0.2">
      <c r="A47" s="66">
        <v>23</v>
      </c>
      <c r="B47" s="66" t="s">
        <v>423</v>
      </c>
      <c r="C47" s="66" t="s">
        <v>424</v>
      </c>
      <c r="D47" s="66">
        <v>202</v>
      </c>
      <c r="E47" s="66">
        <v>30167734</v>
      </c>
      <c r="F47" s="66" t="s">
        <v>583</v>
      </c>
      <c r="G47" s="66"/>
      <c r="H47" s="66" t="s">
        <v>422</v>
      </c>
      <c r="I47" s="66">
        <v>1</v>
      </c>
      <c r="J47" s="66" t="s">
        <v>426</v>
      </c>
      <c r="K47" s="67">
        <v>27.22</v>
      </c>
      <c r="L47" s="68" t="s">
        <v>573</v>
      </c>
      <c r="M47" s="66" t="s">
        <v>427</v>
      </c>
      <c r="N47" s="66" t="s">
        <v>428</v>
      </c>
      <c r="O47" s="66"/>
      <c r="P47" s="66"/>
      <c r="Q47" s="66"/>
      <c r="R47" s="66" t="s">
        <v>584</v>
      </c>
      <c r="S47" s="66" t="s">
        <v>430</v>
      </c>
      <c r="T47" s="66" t="s">
        <v>431</v>
      </c>
      <c r="U47" s="66"/>
      <c r="V47" s="66"/>
      <c r="W47" s="66" t="s">
        <v>425</v>
      </c>
      <c r="X47" s="66"/>
      <c r="Y47" s="66" t="s">
        <v>585</v>
      </c>
      <c r="Z47" s="66" t="s">
        <v>76</v>
      </c>
      <c r="AA47" s="66" t="s">
        <v>28</v>
      </c>
      <c r="AB47" s="66" t="s">
        <v>18</v>
      </c>
      <c r="AC47" s="66">
        <v>10549</v>
      </c>
      <c r="AD47" s="66" t="s">
        <v>432</v>
      </c>
      <c r="AE47" s="66">
        <v>2406220331</v>
      </c>
      <c r="AF47" s="66" t="s">
        <v>433</v>
      </c>
      <c r="AG47" s="66">
        <v>21</v>
      </c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>
        <v>86</v>
      </c>
      <c r="AX47" s="66"/>
      <c r="AY47" s="66" t="s">
        <v>425</v>
      </c>
      <c r="AZ47" s="66">
        <v>12</v>
      </c>
      <c r="BA47" s="66" t="s">
        <v>434</v>
      </c>
      <c r="BB47" s="66"/>
      <c r="BC47" s="66" t="s">
        <v>435</v>
      </c>
      <c r="BD47" s="66">
        <v>29</v>
      </c>
    </row>
    <row r="48" spans="1:56" s="21" customFormat="1" x14ac:dyDescent="0.2">
      <c r="A48" s="66">
        <v>23</v>
      </c>
      <c r="B48" s="66" t="s">
        <v>423</v>
      </c>
      <c r="C48" s="66" t="s">
        <v>424</v>
      </c>
      <c r="D48" s="66">
        <v>202</v>
      </c>
      <c r="E48" s="66">
        <v>30167734</v>
      </c>
      <c r="F48" s="66" t="s">
        <v>586</v>
      </c>
      <c r="G48" s="66"/>
      <c r="H48" s="66" t="s">
        <v>422</v>
      </c>
      <c r="I48" s="66">
        <v>1</v>
      </c>
      <c r="J48" s="66" t="s">
        <v>426</v>
      </c>
      <c r="K48" s="67">
        <v>13.61</v>
      </c>
      <c r="L48" s="68" t="s">
        <v>573</v>
      </c>
      <c r="M48" s="66" t="s">
        <v>427</v>
      </c>
      <c r="N48" s="66" t="s">
        <v>428</v>
      </c>
      <c r="O48" s="66"/>
      <c r="P48" s="66"/>
      <c r="Q48" s="66"/>
      <c r="R48" s="66" t="s">
        <v>587</v>
      </c>
      <c r="S48" s="66" t="s">
        <v>430</v>
      </c>
      <c r="T48" s="66" t="s">
        <v>431</v>
      </c>
      <c r="U48" s="66"/>
      <c r="V48" s="66"/>
      <c r="W48" s="66" t="s">
        <v>425</v>
      </c>
      <c r="X48" s="66"/>
      <c r="Y48" s="66" t="s">
        <v>588</v>
      </c>
      <c r="Z48" s="66" t="s">
        <v>77</v>
      </c>
      <c r="AA48" s="66" t="s">
        <v>50</v>
      </c>
      <c r="AB48" s="66" t="s">
        <v>18</v>
      </c>
      <c r="AC48" s="66">
        <v>10507</v>
      </c>
      <c r="AD48" s="66" t="s">
        <v>432</v>
      </c>
      <c r="AE48" s="66">
        <v>2405584402</v>
      </c>
      <c r="AF48" s="66" t="s">
        <v>433</v>
      </c>
      <c r="AG48" s="66">
        <v>21</v>
      </c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>
        <v>86</v>
      </c>
      <c r="AX48" s="66"/>
      <c r="AY48" s="66" t="s">
        <v>425</v>
      </c>
      <c r="AZ48" s="66">
        <v>9</v>
      </c>
      <c r="BA48" s="66" t="s">
        <v>434</v>
      </c>
      <c r="BB48" s="66"/>
      <c r="BC48" s="66" t="s">
        <v>435</v>
      </c>
      <c r="BD48" s="66">
        <v>30</v>
      </c>
    </row>
    <row r="49" spans="1:56" s="21" customFormat="1" x14ac:dyDescent="0.2">
      <c r="A49" s="66">
        <v>23</v>
      </c>
      <c r="B49" s="66" t="s">
        <v>423</v>
      </c>
      <c r="C49" s="66" t="s">
        <v>424</v>
      </c>
      <c r="D49" s="66">
        <v>202</v>
      </c>
      <c r="E49" s="66">
        <v>30167734</v>
      </c>
      <c r="F49" s="66" t="s">
        <v>589</v>
      </c>
      <c r="G49" s="66"/>
      <c r="H49" s="66" t="s">
        <v>422</v>
      </c>
      <c r="I49" s="66">
        <v>1</v>
      </c>
      <c r="J49" s="66" t="s">
        <v>426</v>
      </c>
      <c r="K49" s="67">
        <v>13.61</v>
      </c>
      <c r="L49" s="68" t="s">
        <v>592</v>
      </c>
      <c r="M49" s="66" t="s">
        <v>427</v>
      </c>
      <c r="N49" s="66" t="s">
        <v>428</v>
      </c>
      <c r="O49" s="66"/>
      <c r="P49" s="66"/>
      <c r="Q49" s="66"/>
      <c r="R49" s="66" t="s">
        <v>590</v>
      </c>
      <c r="S49" s="66" t="s">
        <v>430</v>
      </c>
      <c r="T49" s="66" t="s">
        <v>431</v>
      </c>
      <c r="U49" s="66"/>
      <c r="V49" s="66"/>
      <c r="W49" s="66" t="s">
        <v>425</v>
      </c>
      <c r="X49" s="66"/>
      <c r="Y49" s="66" t="s">
        <v>591</v>
      </c>
      <c r="Z49" s="66" t="s">
        <v>78</v>
      </c>
      <c r="AA49" s="66" t="s">
        <v>70</v>
      </c>
      <c r="AB49" s="66" t="s">
        <v>18</v>
      </c>
      <c r="AC49" s="66">
        <v>10080</v>
      </c>
      <c r="AD49" s="66" t="s">
        <v>432</v>
      </c>
      <c r="AE49" s="66">
        <v>2402172150</v>
      </c>
      <c r="AF49" s="66" t="s">
        <v>433</v>
      </c>
      <c r="AG49" s="66">
        <v>21</v>
      </c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>
        <v>86</v>
      </c>
      <c r="AX49" s="66"/>
      <c r="AY49" s="66" t="s">
        <v>425</v>
      </c>
      <c r="AZ49" s="66">
        <v>9</v>
      </c>
      <c r="BA49" s="66" t="s">
        <v>434</v>
      </c>
      <c r="BB49" s="66"/>
      <c r="BC49" s="66" t="s">
        <v>435</v>
      </c>
      <c r="BD49" s="66">
        <v>31</v>
      </c>
    </row>
    <row r="50" spans="1:56" s="21" customFormat="1" ht="15" customHeight="1" x14ac:dyDescent="0.2">
      <c r="A50" s="66">
        <v>23</v>
      </c>
      <c r="B50" s="66" t="s">
        <v>423</v>
      </c>
      <c r="C50" s="66" t="s">
        <v>424</v>
      </c>
      <c r="D50" s="66">
        <v>202</v>
      </c>
      <c r="E50" s="66">
        <v>30167734</v>
      </c>
      <c r="F50" s="66" t="s">
        <v>593</v>
      </c>
      <c r="G50" s="66"/>
      <c r="H50" s="66" t="s">
        <v>422</v>
      </c>
      <c r="I50" s="66">
        <v>1</v>
      </c>
      <c r="J50" s="66" t="s">
        <v>426</v>
      </c>
      <c r="K50" s="67">
        <v>13.61</v>
      </c>
      <c r="L50" s="68" t="s">
        <v>592</v>
      </c>
      <c r="M50" s="66" t="s">
        <v>427</v>
      </c>
      <c r="N50" s="66" t="s">
        <v>428</v>
      </c>
      <c r="O50" s="66"/>
      <c r="P50" s="66"/>
      <c r="Q50" s="66"/>
      <c r="R50" s="66" t="s">
        <v>594</v>
      </c>
      <c r="S50" s="66" t="s">
        <v>430</v>
      </c>
      <c r="T50" s="66" t="s">
        <v>431</v>
      </c>
      <c r="U50" s="66"/>
      <c r="V50" s="66"/>
      <c r="W50" s="66" t="s">
        <v>425</v>
      </c>
      <c r="X50" s="66"/>
      <c r="Y50" s="66" t="s">
        <v>595</v>
      </c>
      <c r="Z50" s="66" t="s">
        <v>79</v>
      </c>
      <c r="AA50" s="66" t="s">
        <v>28</v>
      </c>
      <c r="AB50" s="66" t="s">
        <v>18</v>
      </c>
      <c r="AC50" s="66">
        <v>10549</v>
      </c>
      <c r="AD50" s="66" t="s">
        <v>432</v>
      </c>
      <c r="AE50" s="66">
        <v>2404202019</v>
      </c>
      <c r="AF50" s="66" t="s">
        <v>433</v>
      </c>
      <c r="AG50" s="66">
        <v>21</v>
      </c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>
        <v>86</v>
      </c>
      <c r="AX50" s="66"/>
      <c r="AY50" s="66" t="s">
        <v>425</v>
      </c>
      <c r="AZ50" s="66">
        <v>9</v>
      </c>
      <c r="BA50" s="66" t="s">
        <v>434</v>
      </c>
      <c r="BB50" s="66"/>
      <c r="BC50" s="66" t="s">
        <v>435</v>
      </c>
      <c r="BD50" s="66">
        <v>32</v>
      </c>
    </row>
    <row r="51" spans="1:56" ht="15.75" customHeight="1" x14ac:dyDescent="0.2">
      <c r="A51" s="66">
        <v>23</v>
      </c>
      <c r="B51" s="66" t="s">
        <v>423</v>
      </c>
      <c r="C51" s="66" t="s">
        <v>424</v>
      </c>
      <c r="D51" s="66">
        <v>202</v>
      </c>
      <c r="E51" s="66">
        <v>30167734</v>
      </c>
      <c r="F51" s="66" t="s">
        <v>596</v>
      </c>
      <c r="G51" s="66"/>
      <c r="H51" s="66" t="s">
        <v>422</v>
      </c>
      <c r="I51" s="66">
        <v>1</v>
      </c>
      <c r="J51" s="66" t="s">
        <v>426</v>
      </c>
      <c r="K51" s="67">
        <v>18.14</v>
      </c>
      <c r="L51" s="68" t="s">
        <v>599</v>
      </c>
      <c r="M51" s="66" t="s">
        <v>427</v>
      </c>
      <c r="N51" s="66" t="s">
        <v>428</v>
      </c>
      <c r="O51" s="66"/>
      <c r="P51" s="66"/>
      <c r="Q51" s="66"/>
      <c r="R51" s="66" t="s">
        <v>597</v>
      </c>
      <c r="S51" s="66" t="s">
        <v>430</v>
      </c>
      <c r="T51" s="66" t="s">
        <v>431</v>
      </c>
      <c r="U51" s="66"/>
      <c r="V51" s="66"/>
      <c r="W51" s="66" t="s">
        <v>425</v>
      </c>
      <c r="X51" s="66"/>
      <c r="Y51" s="66" t="s">
        <v>598</v>
      </c>
      <c r="Z51" s="66" t="s">
        <v>80</v>
      </c>
      <c r="AA51" s="66" t="s">
        <v>28</v>
      </c>
      <c r="AB51" s="66" t="s">
        <v>18</v>
      </c>
      <c r="AC51" s="66">
        <v>10549</v>
      </c>
      <c r="AD51" s="66" t="s">
        <v>432</v>
      </c>
      <c r="AE51" s="66">
        <v>2403602015</v>
      </c>
      <c r="AF51" s="66" t="s">
        <v>433</v>
      </c>
      <c r="AG51" s="66">
        <v>21</v>
      </c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>
        <v>86</v>
      </c>
      <c r="AX51" s="66"/>
      <c r="AY51" s="66" t="s">
        <v>425</v>
      </c>
      <c r="AZ51" s="66">
        <v>10</v>
      </c>
      <c r="BA51" s="66" t="s">
        <v>434</v>
      </c>
      <c r="BB51" s="66"/>
      <c r="BC51" s="66" t="s">
        <v>435</v>
      </c>
      <c r="BD51" s="66">
        <v>33</v>
      </c>
    </row>
    <row r="52" spans="1:56" x14ac:dyDescent="0.2">
      <c r="A52" s="66">
        <v>23</v>
      </c>
      <c r="B52" s="66" t="s">
        <v>423</v>
      </c>
      <c r="C52" s="66" t="s">
        <v>424</v>
      </c>
      <c r="D52" s="66">
        <v>202</v>
      </c>
      <c r="E52" s="66">
        <v>30167734</v>
      </c>
      <c r="F52" s="66" t="s">
        <v>600</v>
      </c>
      <c r="G52" s="66"/>
      <c r="H52" s="66" t="s">
        <v>422</v>
      </c>
      <c r="I52" s="66">
        <v>1</v>
      </c>
      <c r="J52" s="66" t="s">
        <v>426</v>
      </c>
      <c r="K52" s="67">
        <v>22.68</v>
      </c>
      <c r="L52" s="68" t="s">
        <v>603</v>
      </c>
      <c r="M52" s="66" t="s">
        <v>427</v>
      </c>
      <c r="N52" s="66" t="s">
        <v>428</v>
      </c>
      <c r="O52" s="66"/>
      <c r="P52" s="66"/>
      <c r="Q52" s="66"/>
      <c r="R52" s="66" t="s">
        <v>601</v>
      </c>
      <c r="S52" s="66" t="s">
        <v>430</v>
      </c>
      <c r="T52" s="66" t="s">
        <v>431</v>
      </c>
      <c r="U52" s="66"/>
      <c r="V52" s="66"/>
      <c r="W52" s="66" t="s">
        <v>425</v>
      </c>
      <c r="X52" s="66"/>
      <c r="Y52" s="66" t="s">
        <v>602</v>
      </c>
      <c r="Z52" s="66" t="s">
        <v>81</v>
      </c>
      <c r="AA52" s="66" t="s">
        <v>50</v>
      </c>
      <c r="AB52" s="66" t="s">
        <v>18</v>
      </c>
      <c r="AC52" s="66">
        <v>10509</v>
      </c>
      <c r="AD52" s="66" t="s">
        <v>432</v>
      </c>
      <c r="AE52" s="66">
        <v>2402220568</v>
      </c>
      <c r="AF52" s="66" t="s">
        <v>433</v>
      </c>
      <c r="AG52" s="66">
        <v>21</v>
      </c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>
        <v>86</v>
      </c>
      <c r="AX52" s="66"/>
      <c r="AY52" s="66" t="s">
        <v>425</v>
      </c>
      <c r="AZ52" s="66">
        <v>11</v>
      </c>
      <c r="BA52" s="66" t="s">
        <v>434</v>
      </c>
      <c r="BB52" s="66"/>
      <c r="BC52" s="66" t="s">
        <v>435</v>
      </c>
      <c r="BD52" s="66">
        <v>33</v>
      </c>
    </row>
    <row r="53" spans="1:56" x14ac:dyDescent="0.2">
      <c r="A53" s="66">
        <v>23</v>
      </c>
      <c r="B53" s="66" t="s">
        <v>423</v>
      </c>
      <c r="C53" s="66" t="s">
        <v>424</v>
      </c>
      <c r="D53" s="66">
        <v>202</v>
      </c>
      <c r="E53" s="66">
        <v>30167734</v>
      </c>
      <c r="F53" s="66" t="s">
        <v>604</v>
      </c>
      <c r="G53" s="66"/>
      <c r="H53" s="66" t="s">
        <v>422</v>
      </c>
      <c r="I53" s="66">
        <v>1</v>
      </c>
      <c r="J53" s="66" t="s">
        <v>426</v>
      </c>
      <c r="K53" s="67">
        <v>29.48</v>
      </c>
      <c r="L53" s="68" t="s">
        <v>573</v>
      </c>
      <c r="M53" s="66" t="s">
        <v>427</v>
      </c>
      <c r="N53" s="66" t="s">
        <v>428</v>
      </c>
      <c r="O53" s="66"/>
      <c r="P53" s="66"/>
      <c r="Q53" s="66"/>
      <c r="R53" s="66" t="s">
        <v>605</v>
      </c>
      <c r="S53" s="66" t="s">
        <v>430</v>
      </c>
      <c r="T53" s="66" t="s">
        <v>431</v>
      </c>
      <c r="U53" s="66"/>
      <c r="V53" s="66"/>
      <c r="W53" s="66" t="s">
        <v>425</v>
      </c>
      <c r="X53" s="66"/>
      <c r="Y53" s="66" t="s">
        <v>606</v>
      </c>
      <c r="Z53" s="66" t="s">
        <v>82</v>
      </c>
      <c r="AA53" s="66" t="s">
        <v>28</v>
      </c>
      <c r="AB53" s="66" t="s">
        <v>18</v>
      </c>
      <c r="AC53" s="66">
        <v>10549</v>
      </c>
      <c r="AD53" s="66" t="s">
        <v>432</v>
      </c>
      <c r="AE53" s="66">
        <v>2408885645</v>
      </c>
      <c r="AF53" s="66" t="s">
        <v>433</v>
      </c>
      <c r="AG53" s="66">
        <v>21</v>
      </c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>
        <v>86</v>
      </c>
      <c r="AX53" s="66"/>
      <c r="AY53" s="66" t="s">
        <v>425</v>
      </c>
      <c r="AZ53" s="66">
        <v>12</v>
      </c>
      <c r="BA53" s="66" t="s">
        <v>434</v>
      </c>
      <c r="BB53" s="66"/>
      <c r="BC53" s="66" t="s">
        <v>435</v>
      </c>
      <c r="BD53" s="66">
        <v>34</v>
      </c>
    </row>
    <row r="54" spans="1:56" x14ac:dyDescent="0.2">
      <c r="A54" s="66">
        <v>23</v>
      </c>
      <c r="B54" s="66" t="s">
        <v>423</v>
      </c>
      <c r="C54" s="66" t="s">
        <v>424</v>
      </c>
      <c r="D54" s="66">
        <v>202</v>
      </c>
      <c r="E54" s="66">
        <v>30167734</v>
      </c>
      <c r="F54" s="66" t="s">
        <v>607</v>
      </c>
      <c r="G54" s="66"/>
      <c r="H54" s="66" t="s">
        <v>422</v>
      </c>
      <c r="I54" s="66">
        <v>1</v>
      </c>
      <c r="J54" s="66" t="s">
        <v>426</v>
      </c>
      <c r="K54" s="67">
        <v>13.61</v>
      </c>
      <c r="L54" s="68" t="s">
        <v>592</v>
      </c>
      <c r="M54" s="66" t="s">
        <v>427</v>
      </c>
      <c r="N54" s="66" t="s">
        <v>428</v>
      </c>
      <c r="O54" s="66"/>
      <c r="P54" s="66"/>
      <c r="Q54" s="66"/>
      <c r="R54" s="66" t="s">
        <v>608</v>
      </c>
      <c r="S54" s="66" t="s">
        <v>430</v>
      </c>
      <c r="T54" s="66" t="s">
        <v>431</v>
      </c>
      <c r="U54" s="66"/>
      <c r="V54" s="66"/>
      <c r="W54" s="66" t="s">
        <v>425</v>
      </c>
      <c r="X54" s="66"/>
      <c r="Y54" s="66" t="s">
        <v>609</v>
      </c>
      <c r="Z54" s="66" t="s">
        <v>83</v>
      </c>
      <c r="AA54" s="66" t="s">
        <v>28</v>
      </c>
      <c r="AB54" s="66" t="s">
        <v>18</v>
      </c>
      <c r="AC54" s="66">
        <v>10549</v>
      </c>
      <c r="AD54" s="66" t="s">
        <v>432</v>
      </c>
      <c r="AE54" s="66">
        <v>2405113002</v>
      </c>
      <c r="AF54" s="66" t="s">
        <v>433</v>
      </c>
      <c r="AG54" s="66">
        <v>21</v>
      </c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>
        <v>86</v>
      </c>
      <c r="AX54" s="66"/>
      <c r="AY54" s="66" t="s">
        <v>425</v>
      </c>
      <c r="AZ54" s="66">
        <v>9</v>
      </c>
      <c r="BA54" s="66" t="s">
        <v>434</v>
      </c>
      <c r="BB54" s="66"/>
      <c r="BC54" s="66" t="s">
        <v>435</v>
      </c>
      <c r="BD54" s="66">
        <v>35</v>
      </c>
    </row>
    <row r="55" spans="1:56" x14ac:dyDescent="0.2">
      <c r="A55" s="66">
        <v>23</v>
      </c>
      <c r="B55" s="66" t="s">
        <v>423</v>
      </c>
      <c r="C55" s="66" t="s">
        <v>424</v>
      </c>
      <c r="D55" s="66">
        <v>202</v>
      </c>
      <c r="E55" s="66">
        <v>30167734</v>
      </c>
      <c r="F55" s="66" t="s">
        <v>610</v>
      </c>
      <c r="G55" s="66"/>
      <c r="H55" s="66" t="s">
        <v>422</v>
      </c>
      <c r="I55" s="66">
        <v>1</v>
      </c>
      <c r="J55" s="66" t="s">
        <v>426</v>
      </c>
      <c r="K55" s="67">
        <v>22.68</v>
      </c>
      <c r="L55" s="68" t="s">
        <v>613</v>
      </c>
      <c r="M55" s="66" t="s">
        <v>427</v>
      </c>
      <c r="N55" s="66" t="s">
        <v>428</v>
      </c>
      <c r="O55" s="66"/>
      <c r="P55" s="66"/>
      <c r="Q55" s="66"/>
      <c r="R55" s="66" t="s">
        <v>611</v>
      </c>
      <c r="S55" s="66" t="s">
        <v>430</v>
      </c>
      <c r="T55" s="66" t="s">
        <v>431</v>
      </c>
      <c r="U55" s="66"/>
      <c r="V55" s="66"/>
      <c r="W55" s="66" t="s">
        <v>425</v>
      </c>
      <c r="X55" s="66"/>
      <c r="Y55" s="66" t="s">
        <v>612</v>
      </c>
      <c r="Z55" s="66" t="s">
        <v>84</v>
      </c>
      <c r="AA55" s="66" t="s">
        <v>28</v>
      </c>
      <c r="AB55" s="66" t="s">
        <v>18</v>
      </c>
      <c r="AC55" s="66">
        <v>10549</v>
      </c>
      <c r="AD55" s="66" t="s">
        <v>432</v>
      </c>
      <c r="AE55" s="66">
        <v>2405022680</v>
      </c>
      <c r="AF55" s="66" t="s">
        <v>433</v>
      </c>
      <c r="AG55" s="66">
        <v>21</v>
      </c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>
        <v>86</v>
      </c>
      <c r="AX55" s="66"/>
      <c r="AY55" s="66" t="s">
        <v>425</v>
      </c>
      <c r="AZ55" s="66">
        <v>11</v>
      </c>
      <c r="BA55" s="66" t="s">
        <v>434</v>
      </c>
      <c r="BB55" s="66"/>
      <c r="BC55" s="66" t="s">
        <v>435</v>
      </c>
      <c r="BD55" s="66">
        <v>36</v>
      </c>
    </row>
    <row r="56" spans="1:56" x14ac:dyDescent="0.2">
      <c r="A56" s="66">
        <v>23</v>
      </c>
      <c r="B56" s="66" t="s">
        <v>423</v>
      </c>
      <c r="C56" s="66" t="s">
        <v>424</v>
      </c>
      <c r="D56" s="66">
        <v>202</v>
      </c>
      <c r="E56" s="66">
        <v>30167734</v>
      </c>
      <c r="F56" s="66" t="s">
        <v>614</v>
      </c>
      <c r="G56" s="66"/>
      <c r="H56" s="66" t="s">
        <v>422</v>
      </c>
      <c r="I56" s="66">
        <v>1</v>
      </c>
      <c r="J56" s="66" t="s">
        <v>426</v>
      </c>
      <c r="K56" s="67">
        <v>13.61</v>
      </c>
      <c r="L56" s="68" t="s">
        <v>617</v>
      </c>
      <c r="M56" s="66" t="s">
        <v>427</v>
      </c>
      <c r="N56" s="66" t="s">
        <v>428</v>
      </c>
      <c r="O56" s="66"/>
      <c r="P56" s="66"/>
      <c r="Q56" s="66"/>
      <c r="R56" s="66" t="s">
        <v>615</v>
      </c>
      <c r="S56" s="66" t="s">
        <v>430</v>
      </c>
      <c r="T56" s="66" t="s">
        <v>431</v>
      </c>
      <c r="U56" s="66"/>
      <c r="V56" s="66"/>
      <c r="W56" s="66" t="s">
        <v>425</v>
      </c>
      <c r="X56" s="66"/>
      <c r="Y56" s="66" t="s">
        <v>616</v>
      </c>
      <c r="Z56" s="66" t="s">
        <v>85</v>
      </c>
      <c r="AA56" s="66" t="s">
        <v>39</v>
      </c>
      <c r="AB56" s="66" t="s">
        <v>18</v>
      </c>
      <c r="AC56" s="66">
        <v>10549</v>
      </c>
      <c r="AD56" s="66" t="s">
        <v>432</v>
      </c>
      <c r="AE56" s="66">
        <v>2405551220</v>
      </c>
      <c r="AF56" s="66" t="s">
        <v>433</v>
      </c>
      <c r="AG56" s="66">
        <v>21</v>
      </c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>
        <v>86</v>
      </c>
      <c r="AX56" s="66"/>
      <c r="AY56" s="66" t="s">
        <v>425</v>
      </c>
      <c r="AZ56" s="66">
        <v>9</v>
      </c>
      <c r="BA56" s="66" t="s">
        <v>434</v>
      </c>
      <c r="BB56" s="66"/>
      <c r="BC56" s="66" t="s">
        <v>435</v>
      </c>
      <c r="BD56" s="66">
        <v>36</v>
      </c>
    </row>
    <row r="57" spans="1:56" x14ac:dyDescent="0.2">
      <c r="A57" s="66">
        <v>23</v>
      </c>
      <c r="B57" s="66" t="s">
        <v>423</v>
      </c>
      <c r="C57" s="66" t="s">
        <v>424</v>
      </c>
      <c r="D57" s="66">
        <v>202</v>
      </c>
      <c r="E57" s="66">
        <v>30167734</v>
      </c>
      <c r="F57" s="66" t="s">
        <v>618</v>
      </c>
      <c r="G57" s="66"/>
      <c r="H57" s="66" t="s">
        <v>422</v>
      </c>
      <c r="I57" s="66">
        <v>1</v>
      </c>
      <c r="J57" s="66" t="s">
        <v>426</v>
      </c>
      <c r="K57" s="67">
        <v>15.88</v>
      </c>
      <c r="L57" s="68" t="s">
        <v>621</v>
      </c>
      <c r="M57" s="66" t="s">
        <v>427</v>
      </c>
      <c r="N57" s="66" t="s">
        <v>428</v>
      </c>
      <c r="O57" s="66"/>
      <c r="P57" s="66"/>
      <c r="Q57" s="66"/>
      <c r="R57" s="66" t="s">
        <v>619</v>
      </c>
      <c r="S57" s="66" t="s">
        <v>430</v>
      </c>
      <c r="T57" s="66" t="s">
        <v>431</v>
      </c>
      <c r="U57" s="66"/>
      <c r="V57" s="66"/>
      <c r="W57" s="66" t="s">
        <v>425</v>
      </c>
      <c r="X57" s="66"/>
      <c r="Y57" s="66" t="s">
        <v>620</v>
      </c>
      <c r="Z57" s="66" t="s">
        <v>86</v>
      </c>
      <c r="AA57" s="66" t="s">
        <v>87</v>
      </c>
      <c r="AB57" s="66" t="s">
        <v>18</v>
      </c>
      <c r="AC57" s="66">
        <v>10514</v>
      </c>
      <c r="AD57" s="66" t="s">
        <v>432</v>
      </c>
      <c r="AE57" s="66">
        <v>2408812205</v>
      </c>
      <c r="AF57" s="66" t="s">
        <v>433</v>
      </c>
      <c r="AG57" s="66">
        <v>21</v>
      </c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>
        <v>86</v>
      </c>
      <c r="AX57" s="66"/>
      <c r="AY57" s="66" t="s">
        <v>425</v>
      </c>
      <c r="AZ57" s="66">
        <v>9</v>
      </c>
      <c r="BA57" s="66" t="s">
        <v>434</v>
      </c>
      <c r="BB57" s="66"/>
      <c r="BC57" s="66" t="s">
        <v>435</v>
      </c>
      <c r="BD57" s="66">
        <v>37</v>
      </c>
    </row>
    <row r="58" spans="1:56" x14ac:dyDescent="0.2">
      <c r="A58" s="66">
        <v>23</v>
      </c>
      <c r="B58" s="66" t="s">
        <v>423</v>
      </c>
      <c r="C58" s="66" t="s">
        <v>424</v>
      </c>
      <c r="D58" s="66">
        <v>202</v>
      </c>
      <c r="E58" s="66">
        <v>30167734</v>
      </c>
      <c r="F58" s="66" t="s">
        <v>622</v>
      </c>
      <c r="G58" s="66"/>
      <c r="H58" s="66" t="s">
        <v>422</v>
      </c>
      <c r="I58" s="66">
        <v>1</v>
      </c>
      <c r="J58" s="66" t="s">
        <v>426</v>
      </c>
      <c r="K58" s="67">
        <v>18.14</v>
      </c>
      <c r="L58" s="68" t="s">
        <v>573</v>
      </c>
      <c r="M58" s="66" t="s">
        <v>427</v>
      </c>
      <c r="N58" s="66" t="s">
        <v>428</v>
      </c>
      <c r="O58" s="66"/>
      <c r="P58" s="66"/>
      <c r="Q58" s="66"/>
      <c r="R58" s="66" t="s">
        <v>623</v>
      </c>
      <c r="S58" s="66" t="s">
        <v>430</v>
      </c>
      <c r="T58" s="66" t="s">
        <v>431</v>
      </c>
      <c r="U58" s="66"/>
      <c r="V58" s="66"/>
      <c r="W58" s="66" t="s">
        <v>425</v>
      </c>
      <c r="X58" s="66"/>
      <c r="Y58" s="66" t="s">
        <v>624</v>
      </c>
      <c r="Z58" s="66" t="s">
        <v>88</v>
      </c>
      <c r="AA58" s="66" t="s">
        <v>26</v>
      </c>
      <c r="AB58" s="66" t="s">
        <v>18</v>
      </c>
      <c r="AC58" s="66">
        <v>10509</v>
      </c>
      <c r="AD58" s="66" t="s">
        <v>432</v>
      </c>
      <c r="AE58" s="66">
        <v>9142994205</v>
      </c>
      <c r="AF58" s="66" t="s">
        <v>433</v>
      </c>
      <c r="AG58" s="66">
        <v>21</v>
      </c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>
        <v>86</v>
      </c>
      <c r="AX58" s="66"/>
      <c r="AY58" s="66" t="s">
        <v>425</v>
      </c>
      <c r="AZ58" s="66">
        <v>10</v>
      </c>
      <c r="BA58" s="66" t="s">
        <v>434</v>
      </c>
      <c r="BB58" s="66"/>
      <c r="BC58" s="66" t="s">
        <v>435</v>
      </c>
      <c r="BD58" s="66">
        <v>37</v>
      </c>
    </row>
    <row r="59" spans="1:56" ht="30" x14ac:dyDescent="0.2">
      <c r="A59" s="66">
        <v>23</v>
      </c>
      <c r="B59" s="66" t="s">
        <v>423</v>
      </c>
      <c r="C59" s="66" t="s">
        <v>424</v>
      </c>
      <c r="D59" s="66">
        <v>202</v>
      </c>
      <c r="E59" s="66">
        <v>30167734</v>
      </c>
      <c r="F59" s="66" t="s">
        <v>625</v>
      </c>
      <c r="G59" s="66"/>
      <c r="H59" s="66" t="s">
        <v>422</v>
      </c>
      <c r="I59" s="66">
        <v>1</v>
      </c>
      <c r="J59" s="66" t="s">
        <v>426</v>
      </c>
      <c r="K59" s="67">
        <v>13.61</v>
      </c>
      <c r="L59" s="68" t="s">
        <v>628</v>
      </c>
      <c r="M59" s="66" t="s">
        <v>427</v>
      </c>
      <c r="N59" s="66" t="s">
        <v>428</v>
      </c>
      <c r="O59" s="66"/>
      <c r="P59" s="66"/>
      <c r="Q59" s="66"/>
      <c r="R59" s="66" t="s">
        <v>626</v>
      </c>
      <c r="S59" s="66" t="s">
        <v>430</v>
      </c>
      <c r="T59" s="66" t="s">
        <v>431</v>
      </c>
      <c r="U59" s="66"/>
      <c r="V59" s="66"/>
      <c r="W59" s="66" t="s">
        <v>425</v>
      </c>
      <c r="X59" s="66"/>
      <c r="Y59" s="66" t="s">
        <v>627</v>
      </c>
      <c r="Z59" s="66" t="s">
        <v>89</v>
      </c>
      <c r="AA59" s="66" t="s">
        <v>28</v>
      </c>
      <c r="AB59" s="66" t="s">
        <v>18</v>
      </c>
      <c r="AC59" s="66">
        <v>10549</v>
      </c>
      <c r="AD59" s="66" t="s">
        <v>432</v>
      </c>
      <c r="AE59" s="66">
        <v>2407776332</v>
      </c>
      <c r="AF59" s="66" t="s">
        <v>433</v>
      </c>
      <c r="AG59" s="66">
        <v>21</v>
      </c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>
        <v>86</v>
      </c>
      <c r="AX59" s="66"/>
      <c r="AY59" s="66" t="s">
        <v>425</v>
      </c>
      <c r="AZ59" s="66">
        <v>9</v>
      </c>
      <c r="BA59" s="66" t="s">
        <v>434</v>
      </c>
      <c r="BB59" s="66"/>
      <c r="BC59" s="66" t="s">
        <v>435</v>
      </c>
      <c r="BD59" s="66">
        <v>38</v>
      </c>
    </row>
    <row r="60" spans="1:56" x14ac:dyDescent="0.2">
      <c r="A60" s="66">
        <v>23</v>
      </c>
      <c r="B60" s="66" t="s">
        <v>423</v>
      </c>
      <c r="C60" s="66" t="s">
        <v>424</v>
      </c>
      <c r="D60" s="66">
        <v>202</v>
      </c>
      <c r="E60" s="66">
        <v>30167734</v>
      </c>
      <c r="F60" s="66" t="s">
        <v>629</v>
      </c>
      <c r="G60" s="66"/>
      <c r="H60" s="66" t="s">
        <v>422</v>
      </c>
      <c r="I60" s="66">
        <v>1</v>
      </c>
      <c r="J60" s="66" t="s">
        <v>426</v>
      </c>
      <c r="K60" s="67">
        <v>11.34</v>
      </c>
      <c r="L60" s="68" t="s">
        <v>632</v>
      </c>
      <c r="M60" s="66" t="s">
        <v>427</v>
      </c>
      <c r="N60" s="66" t="s">
        <v>428</v>
      </c>
      <c r="O60" s="66"/>
      <c r="P60" s="66"/>
      <c r="Q60" s="66"/>
      <c r="R60" s="66" t="s">
        <v>630</v>
      </c>
      <c r="S60" s="66" t="s">
        <v>430</v>
      </c>
      <c r="T60" s="66" t="s">
        <v>431</v>
      </c>
      <c r="U60" s="66"/>
      <c r="V60" s="66"/>
      <c r="W60" s="66" t="s">
        <v>425</v>
      </c>
      <c r="X60" s="66"/>
      <c r="Y60" s="66" t="s">
        <v>631</v>
      </c>
      <c r="Z60" s="66" t="s">
        <v>90</v>
      </c>
      <c r="AA60" s="66" t="s">
        <v>28</v>
      </c>
      <c r="AB60" s="66" t="s">
        <v>18</v>
      </c>
      <c r="AC60" s="66">
        <v>10549</v>
      </c>
      <c r="AD60" s="66" t="s">
        <v>432</v>
      </c>
      <c r="AE60" s="66">
        <v>3509142001</v>
      </c>
      <c r="AF60" s="66" t="s">
        <v>433</v>
      </c>
      <c r="AG60" s="66">
        <v>21</v>
      </c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>
        <v>86</v>
      </c>
      <c r="AX60" s="66"/>
      <c r="AY60" s="66" t="s">
        <v>425</v>
      </c>
      <c r="AZ60" s="66">
        <v>8</v>
      </c>
      <c r="BA60" s="66" t="s">
        <v>434</v>
      </c>
      <c r="BB60" s="66"/>
      <c r="BC60" s="66" t="s">
        <v>435</v>
      </c>
      <c r="BD60" s="66">
        <v>38</v>
      </c>
    </row>
    <row r="61" spans="1:56" x14ac:dyDescent="0.2">
      <c r="A61" s="66">
        <v>23</v>
      </c>
      <c r="B61" s="66" t="s">
        <v>423</v>
      </c>
      <c r="C61" s="66" t="s">
        <v>424</v>
      </c>
      <c r="D61" s="66">
        <v>202</v>
      </c>
      <c r="E61" s="66">
        <v>30167734</v>
      </c>
      <c r="F61" s="66" t="s">
        <v>633</v>
      </c>
      <c r="G61" s="66"/>
      <c r="H61" s="66" t="s">
        <v>422</v>
      </c>
      <c r="I61" s="66">
        <v>1</v>
      </c>
      <c r="J61" s="66" t="s">
        <v>426</v>
      </c>
      <c r="K61" s="67">
        <v>6.8</v>
      </c>
      <c r="L61" s="68" t="s">
        <v>636</v>
      </c>
      <c r="M61" s="66" t="s">
        <v>427</v>
      </c>
      <c r="N61" s="66" t="s">
        <v>428</v>
      </c>
      <c r="O61" s="66"/>
      <c r="P61" s="66"/>
      <c r="Q61" s="66"/>
      <c r="R61" s="66" t="s">
        <v>634</v>
      </c>
      <c r="S61" s="66" t="s">
        <v>430</v>
      </c>
      <c r="T61" s="66" t="s">
        <v>431</v>
      </c>
      <c r="U61" s="66"/>
      <c r="V61" s="66"/>
      <c r="W61" s="66" t="s">
        <v>425</v>
      </c>
      <c r="X61" s="66"/>
      <c r="Y61" s="66" t="s">
        <v>635</v>
      </c>
      <c r="Z61" s="66" t="s">
        <v>91</v>
      </c>
      <c r="AA61" s="66" t="s">
        <v>26</v>
      </c>
      <c r="AB61" s="66" t="s">
        <v>18</v>
      </c>
      <c r="AC61" s="66">
        <v>10507</v>
      </c>
      <c r="AD61" s="66" t="s">
        <v>432</v>
      </c>
      <c r="AE61" s="66">
        <v>2510026330</v>
      </c>
      <c r="AF61" s="66" t="s">
        <v>433</v>
      </c>
      <c r="AG61" s="66">
        <v>21</v>
      </c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>
        <v>86</v>
      </c>
      <c r="AX61" s="66"/>
      <c r="AY61" s="66" t="s">
        <v>425</v>
      </c>
      <c r="AZ61" s="66">
        <v>7</v>
      </c>
      <c r="BA61" s="66" t="s">
        <v>434</v>
      </c>
      <c r="BB61" s="66"/>
      <c r="BC61" s="66" t="s">
        <v>435</v>
      </c>
      <c r="BD61" s="66">
        <v>39</v>
      </c>
    </row>
    <row r="62" spans="1:56" ht="15.75" customHeight="1" x14ac:dyDescent="0.2">
      <c r="A62" s="66">
        <v>23</v>
      </c>
      <c r="B62" s="66" t="s">
        <v>423</v>
      </c>
      <c r="C62" s="66" t="s">
        <v>424</v>
      </c>
      <c r="D62" s="66">
        <v>202</v>
      </c>
      <c r="E62" s="66">
        <v>30167734</v>
      </c>
      <c r="F62" s="66" t="s">
        <v>637</v>
      </c>
      <c r="G62" s="66"/>
      <c r="H62" s="66" t="s">
        <v>422</v>
      </c>
      <c r="I62" s="66">
        <v>1</v>
      </c>
      <c r="J62" s="66" t="s">
        <v>426</v>
      </c>
      <c r="K62" s="67">
        <v>15.88</v>
      </c>
      <c r="L62" s="68" t="s">
        <v>640</v>
      </c>
      <c r="M62" s="66" t="s">
        <v>427</v>
      </c>
      <c r="N62" s="66" t="s">
        <v>428</v>
      </c>
      <c r="O62" s="66"/>
      <c r="P62" s="66"/>
      <c r="Q62" s="66"/>
      <c r="R62" s="66" t="s">
        <v>638</v>
      </c>
      <c r="S62" s="66" t="s">
        <v>430</v>
      </c>
      <c r="T62" s="66" t="s">
        <v>431</v>
      </c>
      <c r="U62" s="66"/>
      <c r="V62" s="66"/>
      <c r="W62" s="66" t="s">
        <v>425</v>
      </c>
      <c r="X62" s="66"/>
      <c r="Y62" s="66" t="s">
        <v>639</v>
      </c>
      <c r="Z62" s="66" t="s">
        <v>92</v>
      </c>
      <c r="AA62" s="66" t="s">
        <v>28</v>
      </c>
      <c r="AB62" s="66" t="s">
        <v>18</v>
      </c>
      <c r="AC62" s="66">
        <v>10509</v>
      </c>
      <c r="AD62" s="66" t="s">
        <v>432</v>
      </c>
      <c r="AE62" s="66">
        <v>2408885210</v>
      </c>
      <c r="AF62" s="66" t="s">
        <v>433</v>
      </c>
      <c r="AG62" s="66">
        <v>21</v>
      </c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>
        <v>86</v>
      </c>
      <c r="AX62" s="66"/>
      <c r="AY62" s="66" t="s">
        <v>425</v>
      </c>
      <c r="AZ62" s="66">
        <v>9</v>
      </c>
      <c r="BA62" s="66" t="s">
        <v>434</v>
      </c>
      <c r="BB62" s="66"/>
      <c r="BC62" s="66" t="s">
        <v>435</v>
      </c>
      <c r="BD62" s="66">
        <v>40</v>
      </c>
    </row>
    <row r="63" spans="1:56" ht="15" customHeight="1" x14ac:dyDescent="0.2">
      <c r="A63" s="66">
        <v>23</v>
      </c>
      <c r="B63" s="66" t="s">
        <v>423</v>
      </c>
      <c r="C63" s="66" t="s">
        <v>424</v>
      </c>
      <c r="D63" s="66">
        <v>202</v>
      </c>
      <c r="E63" s="66">
        <v>30167734</v>
      </c>
      <c r="F63" s="66" t="s">
        <v>641</v>
      </c>
      <c r="G63" s="66"/>
      <c r="H63" s="66" t="s">
        <v>422</v>
      </c>
      <c r="I63" s="66">
        <v>1</v>
      </c>
      <c r="J63" s="66" t="s">
        <v>426</v>
      </c>
      <c r="K63" s="67">
        <v>19.05</v>
      </c>
      <c r="L63" s="68" t="s">
        <v>644</v>
      </c>
      <c r="M63" s="66" t="s">
        <v>427</v>
      </c>
      <c r="N63" s="66" t="s">
        <v>428</v>
      </c>
      <c r="O63" s="66"/>
      <c r="P63" s="66"/>
      <c r="Q63" s="66"/>
      <c r="R63" s="66" t="s">
        <v>642</v>
      </c>
      <c r="S63" s="66" t="s">
        <v>430</v>
      </c>
      <c r="T63" s="66" t="s">
        <v>431</v>
      </c>
      <c r="U63" s="66"/>
      <c r="V63" s="66"/>
      <c r="W63" s="66" t="s">
        <v>425</v>
      </c>
      <c r="X63" s="66"/>
      <c r="Y63" s="66" t="s">
        <v>643</v>
      </c>
      <c r="Z63" s="66" t="s">
        <v>93</v>
      </c>
      <c r="AA63" s="66" t="s">
        <v>28</v>
      </c>
      <c r="AB63" s="66" t="s">
        <v>18</v>
      </c>
      <c r="AC63" s="66">
        <v>10549</v>
      </c>
      <c r="AD63" s="66" t="s">
        <v>432</v>
      </c>
      <c r="AE63" s="66">
        <v>9145003220</v>
      </c>
      <c r="AF63" s="66" t="s">
        <v>433</v>
      </c>
      <c r="AG63" s="66">
        <v>21</v>
      </c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>
        <v>86</v>
      </c>
      <c r="AX63" s="66"/>
      <c r="AY63" s="66" t="s">
        <v>425</v>
      </c>
      <c r="AZ63" s="66">
        <v>10</v>
      </c>
      <c r="BA63" s="66" t="s">
        <v>434</v>
      </c>
      <c r="BB63" s="66"/>
      <c r="BC63" s="66" t="s">
        <v>435</v>
      </c>
      <c r="BD63" s="66">
        <v>41</v>
      </c>
    </row>
    <row r="64" spans="1:56" x14ac:dyDescent="0.2">
      <c r="A64" s="66">
        <v>23</v>
      </c>
      <c r="B64" s="66" t="s">
        <v>423</v>
      </c>
      <c r="C64" s="66" t="s">
        <v>424</v>
      </c>
      <c r="D64" s="66">
        <v>202</v>
      </c>
      <c r="E64" s="66">
        <v>30167734</v>
      </c>
      <c r="F64" s="66" t="s">
        <v>645</v>
      </c>
      <c r="G64" s="66"/>
      <c r="H64" s="66" t="s">
        <v>422</v>
      </c>
      <c r="I64" s="66">
        <v>1</v>
      </c>
      <c r="J64" s="66" t="s">
        <v>426</v>
      </c>
      <c r="K64" s="67">
        <v>20.41</v>
      </c>
      <c r="L64" s="68" t="s">
        <v>648</v>
      </c>
      <c r="M64" s="66" t="s">
        <v>427</v>
      </c>
      <c r="N64" s="66" t="s">
        <v>428</v>
      </c>
      <c r="O64" s="66"/>
      <c r="P64" s="66"/>
      <c r="Q64" s="66"/>
      <c r="R64" s="66" t="s">
        <v>646</v>
      </c>
      <c r="S64" s="66" t="s">
        <v>430</v>
      </c>
      <c r="T64" s="66" t="s">
        <v>431</v>
      </c>
      <c r="U64" s="66"/>
      <c r="V64" s="66"/>
      <c r="W64" s="66" t="s">
        <v>425</v>
      </c>
      <c r="X64" s="66"/>
      <c r="Y64" s="66" t="s">
        <v>647</v>
      </c>
      <c r="Z64" s="66" t="s">
        <v>94</v>
      </c>
      <c r="AA64" s="66" t="s">
        <v>26</v>
      </c>
      <c r="AB64" s="66" t="s">
        <v>18</v>
      </c>
      <c r="AC64" s="66">
        <v>10509</v>
      </c>
      <c r="AD64" s="66" t="s">
        <v>432</v>
      </c>
      <c r="AE64" s="66">
        <v>9148556330</v>
      </c>
      <c r="AF64" s="66" t="s">
        <v>433</v>
      </c>
      <c r="AG64" s="66">
        <v>21</v>
      </c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>
        <v>86</v>
      </c>
      <c r="AX64" s="66"/>
      <c r="AY64" s="66" t="s">
        <v>425</v>
      </c>
      <c r="AZ64" s="66">
        <v>10</v>
      </c>
      <c r="BA64" s="66" t="s">
        <v>434</v>
      </c>
      <c r="BB64" s="66"/>
      <c r="BC64" s="66" t="s">
        <v>435</v>
      </c>
      <c r="BD64" s="66">
        <v>42</v>
      </c>
    </row>
    <row r="65" spans="1:56" x14ac:dyDescent="0.2">
      <c r="A65" s="66">
        <v>23</v>
      </c>
      <c r="B65" s="66" t="s">
        <v>423</v>
      </c>
      <c r="C65" s="66" t="s">
        <v>424</v>
      </c>
      <c r="D65" s="66">
        <v>202</v>
      </c>
      <c r="E65" s="66">
        <v>30167734</v>
      </c>
      <c r="F65" s="66" t="s">
        <v>653</v>
      </c>
      <c r="G65" s="66"/>
      <c r="H65" s="66" t="s">
        <v>422</v>
      </c>
      <c r="I65" s="66">
        <v>1</v>
      </c>
      <c r="J65" s="66" t="s">
        <v>426</v>
      </c>
      <c r="K65" s="67">
        <v>31.75</v>
      </c>
      <c r="L65" s="68" t="s">
        <v>652</v>
      </c>
      <c r="M65" s="66" t="s">
        <v>427</v>
      </c>
      <c r="N65" s="66" t="s">
        <v>428</v>
      </c>
      <c r="O65" s="66"/>
      <c r="P65" s="66"/>
      <c r="Q65" s="66"/>
      <c r="R65" s="66" t="s">
        <v>654</v>
      </c>
      <c r="S65" s="66" t="s">
        <v>430</v>
      </c>
      <c r="T65" s="66" t="s">
        <v>431</v>
      </c>
      <c r="U65" s="66"/>
      <c r="V65" s="66"/>
      <c r="W65" s="66" t="s">
        <v>425</v>
      </c>
      <c r="X65" s="66"/>
      <c r="Y65" s="66" t="s">
        <v>655</v>
      </c>
      <c r="Z65" s="66" t="s">
        <v>96</v>
      </c>
      <c r="AA65" s="66" t="s">
        <v>28</v>
      </c>
      <c r="AB65" s="66" t="s">
        <v>18</v>
      </c>
      <c r="AC65" s="66">
        <v>10549</v>
      </c>
      <c r="AD65" s="66" t="s">
        <v>432</v>
      </c>
      <c r="AE65" s="66">
        <v>3015220742</v>
      </c>
      <c r="AF65" s="66" t="s">
        <v>433</v>
      </c>
      <c r="AG65" s="66">
        <v>21</v>
      </c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>
        <v>86</v>
      </c>
      <c r="AX65" s="66"/>
      <c r="AY65" s="66" t="s">
        <v>425</v>
      </c>
      <c r="AZ65" s="66">
        <v>13</v>
      </c>
      <c r="BA65" s="66" t="s">
        <v>434</v>
      </c>
      <c r="BB65" s="66"/>
      <c r="BC65" s="66" t="s">
        <v>435</v>
      </c>
      <c r="BD65" s="66">
        <v>43</v>
      </c>
    </row>
    <row r="66" spans="1:56" x14ac:dyDescent="0.2">
      <c r="A66" s="90">
        <v>23</v>
      </c>
      <c r="B66" s="90" t="s">
        <v>423</v>
      </c>
      <c r="C66" s="90" t="s">
        <v>424</v>
      </c>
      <c r="D66" s="90">
        <v>202</v>
      </c>
      <c r="E66" s="90">
        <v>30167734</v>
      </c>
      <c r="F66" s="90" t="s">
        <v>649</v>
      </c>
      <c r="G66" s="90"/>
      <c r="H66" s="90" t="s">
        <v>422</v>
      </c>
      <c r="I66" s="90">
        <v>1</v>
      </c>
      <c r="J66" s="90" t="s">
        <v>426</v>
      </c>
      <c r="K66" s="91">
        <v>34.020000000000003</v>
      </c>
      <c r="L66" s="92" t="s">
        <v>652</v>
      </c>
      <c r="M66" s="90" t="s">
        <v>427</v>
      </c>
      <c r="N66" s="90" t="s">
        <v>428</v>
      </c>
      <c r="O66" s="90"/>
      <c r="P66" s="90"/>
      <c r="Q66" s="90"/>
      <c r="R66" s="90" t="s">
        <v>650</v>
      </c>
      <c r="S66" s="90" t="s">
        <v>430</v>
      </c>
      <c r="T66" s="90" t="s">
        <v>431</v>
      </c>
      <c r="U66" s="90"/>
      <c r="V66" s="90"/>
      <c r="W66" s="90" t="s">
        <v>425</v>
      </c>
      <c r="X66" s="90"/>
      <c r="Y66" s="90" t="s">
        <v>651</v>
      </c>
      <c r="Z66" s="90" t="s">
        <v>95</v>
      </c>
      <c r="AA66" s="90" t="s">
        <v>28</v>
      </c>
      <c r="AB66" s="90" t="s">
        <v>18</v>
      </c>
      <c r="AC66" s="90">
        <v>10549</v>
      </c>
      <c r="AD66" s="90" t="s">
        <v>432</v>
      </c>
      <c r="AE66" s="90">
        <v>3017560094</v>
      </c>
      <c r="AF66" s="90" t="s">
        <v>433</v>
      </c>
      <c r="AG66" s="90">
        <v>21</v>
      </c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>
        <v>86</v>
      </c>
      <c r="AX66" s="90"/>
      <c r="AY66" s="90" t="s">
        <v>425</v>
      </c>
      <c r="AZ66" s="90">
        <v>13</v>
      </c>
      <c r="BA66" s="90" t="s">
        <v>434</v>
      </c>
      <c r="BB66" s="90"/>
      <c r="BC66" s="90" t="s">
        <v>435</v>
      </c>
      <c r="BD66" s="90">
        <v>44</v>
      </c>
    </row>
    <row r="67" spans="1:56" s="21" customFormat="1" ht="15" customHeight="1" x14ac:dyDescent="0.2">
      <c r="A67" s="66">
        <v>23</v>
      </c>
      <c r="B67" s="66" t="s">
        <v>423</v>
      </c>
      <c r="C67" s="66" t="s">
        <v>424</v>
      </c>
      <c r="D67" s="66">
        <v>202</v>
      </c>
      <c r="E67" s="66">
        <v>30167734</v>
      </c>
      <c r="F67" s="66" t="s">
        <v>658</v>
      </c>
      <c r="G67" s="66"/>
      <c r="H67" s="66" t="s">
        <v>422</v>
      </c>
      <c r="I67" s="66">
        <v>1</v>
      </c>
      <c r="J67" s="66" t="s">
        <v>426</v>
      </c>
      <c r="K67" s="67">
        <v>22.68</v>
      </c>
      <c r="L67" s="68" t="s">
        <v>659</v>
      </c>
      <c r="M67" s="66" t="s">
        <v>427</v>
      </c>
      <c r="N67" s="66" t="s">
        <v>428</v>
      </c>
      <c r="O67" s="66"/>
      <c r="P67" s="66"/>
      <c r="Q67" s="66"/>
      <c r="R67" s="66" t="s">
        <v>656</v>
      </c>
      <c r="S67" s="66" t="s">
        <v>430</v>
      </c>
      <c r="T67" s="66" t="s">
        <v>431</v>
      </c>
      <c r="U67" s="66"/>
      <c r="V67" s="66"/>
      <c r="W67" s="66" t="s">
        <v>425</v>
      </c>
      <c r="X67" s="66"/>
      <c r="Y67" s="66" t="s">
        <v>657</v>
      </c>
      <c r="Z67" s="66" t="s">
        <v>97</v>
      </c>
      <c r="AA67" s="66" t="s">
        <v>26</v>
      </c>
      <c r="AB67" s="66" t="s">
        <v>18</v>
      </c>
      <c r="AC67" s="66">
        <v>10509</v>
      </c>
      <c r="AD67" s="66" t="s">
        <v>432</v>
      </c>
      <c r="AE67" s="66">
        <v>9147773012</v>
      </c>
      <c r="AF67" s="66" t="s">
        <v>433</v>
      </c>
      <c r="AG67" s="66">
        <v>21</v>
      </c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>
        <v>86</v>
      </c>
      <c r="AX67" s="66"/>
      <c r="AY67" s="66" t="s">
        <v>425</v>
      </c>
      <c r="AZ67" s="66">
        <v>11</v>
      </c>
      <c r="BA67" s="66" t="s">
        <v>434</v>
      </c>
      <c r="BB67" s="66"/>
      <c r="BC67" s="96" t="s">
        <v>435</v>
      </c>
      <c r="BD67" s="66">
        <v>45</v>
      </c>
    </row>
    <row r="68" spans="1:56" s="21" customFormat="1" x14ac:dyDescent="0.2">
      <c r="A68" s="93">
        <v>23</v>
      </c>
      <c r="B68" s="93" t="s">
        <v>423</v>
      </c>
      <c r="C68" s="93" t="s">
        <v>424</v>
      </c>
      <c r="D68" s="93">
        <v>202</v>
      </c>
      <c r="E68" s="93">
        <v>30167734</v>
      </c>
      <c r="F68" s="93" t="s">
        <v>671</v>
      </c>
      <c r="G68" s="93"/>
      <c r="H68" s="93" t="s">
        <v>422</v>
      </c>
      <c r="I68" s="93">
        <v>1</v>
      </c>
      <c r="J68" s="93" t="s">
        <v>426</v>
      </c>
      <c r="K68" s="94">
        <v>20.41</v>
      </c>
      <c r="L68" s="95" t="s">
        <v>672</v>
      </c>
      <c r="M68" s="93" t="s">
        <v>427</v>
      </c>
      <c r="N68" s="93" t="s">
        <v>428</v>
      </c>
      <c r="O68" s="93"/>
      <c r="P68" s="93"/>
      <c r="Q68" s="93"/>
      <c r="R68" s="93" t="s">
        <v>674</v>
      </c>
      <c r="S68" s="93" t="s">
        <v>430</v>
      </c>
      <c r="T68" s="93" t="s">
        <v>431</v>
      </c>
      <c r="U68" s="93"/>
      <c r="V68" s="93"/>
      <c r="W68" s="93" t="s">
        <v>425</v>
      </c>
      <c r="X68" s="93"/>
      <c r="Y68" s="93" t="s">
        <v>674</v>
      </c>
      <c r="Z68" s="93" t="s">
        <v>21</v>
      </c>
      <c r="AA68" s="93" t="s">
        <v>22</v>
      </c>
      <c r="AB68" s="93" t="s">
        <v>18</v>
      </c>
      <c r="AC68" s="93">
        <v>10080</v>
      </c>
      <c r="AD68" s="93" t="s">
        <v>432</v>
      </c>
      <c r="AE68" s="93">
        <v>2405421628</v>
      </c>
      <c r="AF68" s="93" t="s">
        <v>433</v>
      </c>
      <c r="AG68" s="93">
        <v>21</v>
      </c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>
        <v>86</v>
      </c>
      <c r="AX68" s="93"/>
      <c r="AY68" s="93" t="s">
        <v>425</v>
      </c>
      <c r="AZ68" s="93">
        <v>10</v>
      </c>
      <c r="BA68" s="93" t="s">
        <v>434</v>
      </c>
      <c r="BB68" s="93"/>
      <c r="BC68" s="93" t="s">
        <v>435</v>
      </c>
      <c r="BD68" s="93">
        <v>1</v>
      </c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8"/>
  <sheetViews>
    <sheetView topLeftCell="A49" workbookViewId="0">
      <selection activeCell="A9" sqref="A9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6" t="s">
        <v>661</v>
      </c>
      <c r="B2" s="76" t="s">
        <v>662</v>
      </c>
    </row>
    <row r="68" spans="1:2" x14ac:dyDescent="0.25">
      <c r="A68" t="s">
        <v>673</v>
      </c>
      <c r="B68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2022-12-01T02:16:11Z</cp:lastPrinted>
  <dcterms:created xsi:type="dcterms:W3CDTF">2022-06-23T22:24:49Z</dcterms:created>
  <dcterms:modified xsi:type="dcterms:W3CDTF">2022-12-07T19:42:23Z</dcterms:modified>
</cp:coreProperties>
</file>