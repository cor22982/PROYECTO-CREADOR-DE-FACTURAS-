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YECTO-CREADOR-DE-FACTURAS-\"/>
    </mc:Choice>
  </mc:AlternateContent>
  <bookViews>
    <workbookView xWindow="0" yWindow="0" windowWidth="19365" windowHeight="8550" activeTab="3"/>
  </bookViews>
  <sheets>
    <sheet name="Hoja1" sheetId="1" r:id="rId1"/>
    <sheet name="Base de Datos" sheetId="2" r:id="rId2"/>
    <sheet name="Manifiesto" sheetId="3" r:id="rId3"/>
    <sheet name="KENNY" sheetId="4" r:id="rId4"/>
  </sheets>
  <definedNames>
    <definedName name="_xlnm._FilterDatabase" localSheetId="2" hidden="1">Manifiesto!$A$2:$S$58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B2" i="1"/>
  <c r="G82" i="2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<sst xmlns="http://schemas.openxmlformats.org/spreadsheetml/2006/main" count="749" uniqueCount="403">
  <si>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</si>
  <si>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</si>
  <si>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</si>
  <si>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</si>
  <si>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</si>
  <si>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</si>
  <si>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</si>
  <si>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</si>
  <si>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</si>
  <si>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</si>
  <si>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</si>
  <si>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</si>
  <si>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</si>
  <si>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</si>
  <si>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</si>
  <si>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</si>
  <si>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</si>
  <si>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</si>
  <si>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</si>
  <si>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</si>
  <si>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</si>
  <si>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</si>
  <si>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</si>
  <si>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</si>
  <si>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</si>
  <si>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</si>
  <si>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</si>
  <si>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</si>
  <si>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</si>
  <si>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</si>
  <si>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</si>
  <si>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</si>
  <si>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</si>
  <si>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</si>
  <si>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</si>
  <si>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</si>
  <si>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</si>
  <si>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</si>
  <si>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</si>
  <si>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</si>
  <si>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</si>
  <si>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</si>
  <si>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</si>
  <si>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</si>
  <si>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</si>
  <si>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</si>
  <si>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</si>
  <si>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</si>
  <si>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</si>
  <si>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</si>
  <si>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</si>
  <si>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</si>
  <si>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</si>
  <si>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</si>
  <si>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</si>
  <si>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</si>
  <si>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</si>
  <si>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</si>
  <si>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</si>
  <si>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</si>
  <si>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</si>
  <si>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</si>
  <si>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</si>
  <si>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</si>
  <si>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</si>
  <si>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</si>
  <si>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</si>
  <si>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</si>
  <si>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</si>
  <si>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</si>
  <si>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</si>
  <si>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</si>
  <si>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</si>
  <si>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</si>
  <si>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</si>
  <si>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</si>
  <si>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</si>
  <si>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</si>
  <si>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</si>
  <si>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</si>
  <si>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</si>
  <si>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</si>
  <si>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</si>
  <si>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</si>
  <si>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</si>
  <si>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</si>
  <si>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</si>
  <si>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</si>
  <si>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</si>
  <si>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</si>
  <si>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</si>
  <si>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</si>
  <si>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</si>
  <si>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</si>
  <si>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</si>
  <si>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</si>
  <si>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</si>
  <si>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</si>
  <si>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</si>
  <si>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</si>
  <si>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</si>
  <si>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</si>
  <si>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</si>
  <si>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</si>
  <si>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</si>
  <si>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</si>
  <si>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</si>
  <si>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</si>
  <si>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</si>
  <si>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</si>
  <si>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</si>
  <si>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</si>
  <si>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</si>
  <si>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</si>
  <si>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</si>
  <si>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</si>
  <si>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</si>
  <si>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</si>
  <si>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</si>
  <si>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</si>
  <si>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</si>
  <si>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</si>
  <si>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</si>
  <si>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</si>
  <si>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</si>
  <si>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</si>
  <si>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</si>
  <si>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</si>
  <si>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</si>
  <si>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</si>
  <si>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</si>
  <si>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</si>
  <si>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</si>
  <si>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</si>
  <si>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</si>
  <si>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</si>
  <si>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</si>
  <si>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</si>
  <si>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</si>
  <si>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</si>
  <si>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</si>
  <si>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</si>
  <si>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</si>
  <si>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</si>
  <si>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</si>
  <si>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</si>
  <si>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</si>
  <si>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</si>
  <si>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</si>
  <si>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</si>
  <si>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</si>
  <si>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</si>
  <si>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</si>
  <si>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</si>
  <si>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</si>
  <si>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</si>
  <si>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</si>
  <si>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</si>
  <si>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</si>
  <si>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</si>
  <si>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</si>
  <si>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</si>
  <si>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</si>
  <si>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</si>
  <si>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</si>
  <si>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</si>
  <si>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</si>
  <si>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</si>
  <si>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</si>
  <si>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</si>
  <si>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</si>
  <si>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</si>
  <si>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</si>
  <si>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</si>
  <si>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</si>
  <si>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</si>
  <si>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</si>
  <si>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</si>
  <si>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</si>
  <si>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</si>
  <si>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</si>
  <si>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</si>
  <si>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</si>
  <si>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</si>
  <si>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</si>
  <si>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</si>
  <si>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</si>
  <si>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</si>
  <si>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</si>
  <si>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</si>
  <si>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</si>
  <si>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</si>
  <si>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</si>
  <si>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</si>
  <si>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</si>
  <si>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</si>
  <si>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</si>
  <si>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</si>
  <si>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</si>
  <si>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</si>
  <si>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</si>
  <si>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</si>
  <si>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</si>
  <si>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</si>
  <si>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</si>
  <si>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</si>
  <si>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</si>
  <si>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</si>
  <si>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</si>
  <si>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</si>
  <si>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</si>
  <si>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</si>
  <si>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</si>
  <si>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</si>
  <si>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</si>
  <si>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</si>
  <si>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</si>
  <si>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</si>
  <si>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</si>
  <si>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</si>
  <si>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</si>
  <si>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</si>
  <si>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</si>
  <si>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</si>
  <si>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</si>
  <si>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</si>
  <si>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</si>
  <si>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</si>
  <si>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</si>
  <si>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</si>
  <si>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</si>
  <si>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</si>
  <si>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</si>
  <si>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</si>
  <si>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</si>
  <si>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</si>
  <si>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</si>
  <si>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</si>
  <si>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</si>
  <si>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</si>
  <si>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</si>
  <si>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</si>
  <si>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</si>
  <si>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</si>
  <si>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</si>
  <si>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</si>
  <si>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</si>
  <si>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</si>
  <si>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</si>
  <si>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</si>
  <si>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</si>
  <si>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</si>
  <si>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</si>
  <si>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</si>
  <si>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</si>
  <si>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</si>
  <si>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</si>
  <si>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</si>
  <si>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</si>
  <si>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</si>
  <si>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</si>
  <si>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</si>
  <si>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</si>
  <si>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</si>
  <si>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</si>
  <si>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</si>
  <si>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</si>
  <si>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</si>
  <si>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</si>
  <si>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</si>
  <si>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</si>
  <si>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</si>
  <si>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</si>
  <si>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</si>
  <si>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</si>
  <si>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</si>
  <si>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</si>
  <si>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</si>
  <si>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</si>
  <si>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</si>
  <si>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</si>
  <si>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</si>
  <si>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</si>
  <si>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</si>
  <si>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</si>
  <si>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</si>
  <si>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</si>
  <si>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</si>
  <si>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</si>
  <si>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</si>
  <si>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</si>
  <si>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</si>
  <si>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</si>
  <si>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</si>
  <si>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</si>
  <si>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</si>
  <si>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</si>
  <si>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</si>
  <si>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</si>
  <si>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</si>
  <si>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</si>
  <si>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INSTRUCCIÓN: De click en Registrar datos para ingresar los valores de las facturas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</si>
  <si>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</si>
  <si>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</si>
  <si>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</si>
  <si>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</si>
  <si>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</si>
  <si>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</si>
  <si>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</si>
  <si>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</si>
  <si>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</si>
  <si>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</si>
  <si>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</si>
  <si>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</si>
  <si>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</si>
  <si>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</si>
  <si>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</si>
  <si>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</si>
  <si>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</si>
  <si>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>Debe ser siempre 2 al inicio</t>
  </si>
  <si>
    <t xml:space="preserve"> </t>
  </si>
  <si>
    <t>FRIO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</si>
  <si>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</si>
  <si>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</si>
  <si>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</si>
  <si>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</si>
  <si>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</si>
  <si>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</si>
  <si>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</si>
  <si>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</si>
  <si>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</si>
  <si>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</si>
  <si>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</si>
  <si>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</si>
  <si>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</si>
  <si>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</si>
  <si>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</si>
  <si>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</si>
  <si>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</si>
  <si>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</si>
  <si>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</si>
  <si>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</si>
  <si>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</si>
  <si>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</si>
  <si>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</si>
  <si>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</si>
  <si>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</si>
  <si>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</si>
  <si>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</si>
  <si>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</si>
  <si>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</si>
  <si>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</si>
  <si>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</si>
  <si>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</si>
  <si>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</si>
  <si>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</si>
  <si>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</si>
  <si>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</si>
  <si>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</si>
  <si>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</si>
  <si>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</si>
  <si>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</si>
  <si>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</si>
  <si>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</si>
  <si>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</si>
  <si>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</si>
  <si>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</si>
  <si>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</si>
  <si>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</si>
  <si>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</si>
  <si>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</si>
  <si>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</si>
  <si>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</si>
  <si>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</si>
  <si>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</si>
  <si>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</si>
  <si>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</si>
  <si>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</si>
  <si>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</si>
  <si>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</si>
  <si>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</si>
  <si>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</si>
  <si>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</si>
  <si>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</si>
  <si>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</si>
  <si>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</si>
  <si>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</si>
  <si>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</si>
  <si>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</si>
  <si>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</si>
  <si>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</si>
  <si>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</si>
  <si>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</si>
  <si>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</si>
  <si>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</si>
  <si>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</si>
  <si>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</si>
  <si>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PAN</t>
  </si>
  <si>
    <t>LILY</t>
  </si>
  <si>
    <t>202 - 30153970</t>
  </si>
  <si>
    <t>027C</t>
  </si>
  <si>
    <t>OTTO</t>
  </si>
  <si>
    <t>MATHEW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</si>
</sst>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55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8" fillId="0" borderId="0" applyFont="0" applyFill="0" applyBorder="0" applyAlignment="0" applyProtection="0"/>
  </cellStyleXfs>
  <cellXfs count="133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12" fillId="4" borderId="14" xfId="0" applyFont="1" applyFill="1" applyBorder="1" applyAlignment="1">
      <alignment horizontal="left" vertical="center" wrapText="1"/>
    </xf>
    <xf numFmtId="0" fontId="0" fillId="0" borderId="14" xfId="0" applyBorder="1"/>
    <xf numFmtId="0" fontId="2" fillId="0" borderId="0" xfId="0" applyFont="1" applyBorder="1" applyAlignment="1">
      <alignment vertical="center" wrapText="1"/>
    </xf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right" vertical="center" wrapText="1"/>
    </xf>
    <xf numFmtId="2" fontId="0" fillId="0" borderId="0" xfId="0" applyNumberForma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" fontId="15" fillId="0" borderId="0" xfId="0" applyNumberFormat="1" applyFont="1" applyFill="1" applyBorder="1" applyAlignment="1">
      <alignment horizontal="left" vertical="center" wrapText="1"/>
    </xf>
    <xf numFmtId="0" fontId="0" fillId="6" borderId="14" xfId="0" applyFill="1" applyBorder="1" applyAlignment="1">
      <alignment horizontal="center" wrapText="1"/>
    </xf>
    <xf numFmtId="0" fontId="0" fillId="0" borderId="0" xfId="0" applyProtection="1">
      <protection locked="0"/>
    </xf>
    <xf numFmtId="0" fontId="0" fillId="2" borderId="14" xfId="0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1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Alignment="1" applyProtection="1">
      <protection locked="0"/>
    </xf>
    <xf numFmtId="0" fontId="1" fillId="0" borderId="19" xfId="0" applyFont="1" applyBorder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Border="1" applyProtection="1"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14" xfId="0" applyBorder="1" applyProtection="1"/>
    <xf numFmtId="0" fontId="0" fillId="0" borderId="22" xfId="0" applyBorder="1" applyAlignment="1" applyProtection="1">
      <protection hidden="1"/>
    </xf>
    <xf numFmtId="0" fontId="4" fillId="0" borderId="24" xfId="0" applyFont="1" applyBorder="1" applyAlignment="1" applyProtection="1">
      <alignment horizontal="right"/>
      <protection hidden="1"/>
    </xf>
    <xf numFmtId="0" fontId="16" fillId="0" borderId="25" xfId="0" applyFont="1" applyBorder="1" applyAlignment="1" applyProtection="1">
      <alignment horizontal="right"/>
      <protection hidden="1"/>
    </xf>
    <xf numFmtId="0" fontId="0" fillId="0" borderId="26" xfId="0" applyBorder="1" applyAlignment="1" applyProtection="1">
      <protection hidden="1"/>
    </xf>
    <xf numFmtId="0" fontId="0" fillId="0" borderId="26" xfId="0" applyBorder="1" applyProtection="1">
      <protection hidden="1"/>
    </xf>
    <xf numFmtId="0" fontId="0" fillId="0" borderId="27" xfId="0" applyBorder="1" applyProtection="1">
      <protection hidden="1"/>
    </xf>
    <xf numFmtId="0" fontId="1" fillId="2" borderId="30" xfId="0" applyFont="1" applyFill="1" applyBorder="1" applyAlignment="1" applyProtection="1">
      <alignment horizontal="center" vertical="center"/>
      <protection hidden="1"/>
    </xf>
    <xf numFmtId="0" fontId="5" fillId="0" borderId="34" xfId="0" applyFont="1" applyBorder="1" applyAlignment="1" applyProtection="1">
      <alignment horizontal="center"/>
      <protection hidden="1"/>
    </xf>
    <xf numFmtId="0" fontId="0" fillId="0" borderId="31" xfId="0" applyBorder="1" applyAlignment="1" applyProtection="1">
      <protection hidden="1"/>
    </xf>
    <xf numFmtId="0" fontId="0" fillId="0" borderId="32" xfId="0" applyBorder="1" applyAlignment="1" applyProtection="1">
      <protection hidden="1"/>
    </xf>
    <xf numFmtId="0" fontId="9" fillId="0" borderId="34" xfId="0" applyFont="1" applyBorder="1" applyAlignment="1" applyProtection="1">
      <alignment horizontal="center"/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hidden="1"/>
    </xf>
    <xf numFmtId="0" fontId="3" fillId="0" borderId="21" xfId="0" applyFont="1" applyBorder="1" applyAlignment="1" applyProtection="1">
      <alignment horizontal="right"/>
      <protection hidden="1"/>
    </xf>
    <xf numFmtId="0" fontId="3" fillId="0" borderId="28" xfId="0" applyFont="1" applyBorder="1" applyAlignment="1" applyProtection="1">
      <alignment horizontal="left"/>
      <protection hidden="1"/>
    </xf>
    <xf numFmtId="0" fontId="3" fillId="0" borderId="18" xfId="0" applyFont="1" applyBorder="1" applyAlignment="1" applyProtection="1">
      <alignment horizontal="left"/>
      <protection hidden="1"/>
    </xf>
    <xf numFmtId="14" fontId="3" fillId="0" borderId="28" xfId="0" applyNumberFormat="1" applyFont="1" applyBorder="1" applyAlignment="1" applyProtection="1">
      <alignment horizontal="left"/>
      <protection hidden="1"/>
    </xf>
    <xf numFmtId="0" fontId="11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Protection="1"/>
    <xf numFmtId="0" fontId="3" fillId="0" borderId="40" xfId="0" applyFont="1" applyBorder="1" applyAlignment="1" applyProtection="1">
      <protection hidden="1"/>
    </xf>
    <xf numFmtId="0" fontId="3" fillId="0" borderId="41" xfId="0" applyFont="1" applyBorder="1" applyAlignment="1" applyProtection="1">
      <protection hidden="1"/>
    </xf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0" fillId="0" borderId="14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43" fontId="20" fillId="0" borderId="0" xfId="1" applyFont="1" applyFill="1" applyBorder="1" applyAlignment="1">
      <alignment vertical="center"/>
    </xf>
    <xf numFmtId="0" fontId="0" fillId="0" borderId="0" xfId="0" applyBorder="1"/>
    <xf numFmtId="0" fontId="0" fillId="0" borderId="0" xfId="0" applyAlignment="1"/>
    <xf numFmtId="0" fontId="19" fillId="0" borderId="0" xfId="0" applyFont="1" applyBorder="1" applyAlignment="1">
      <alignment vertical="center"/>
    </xf>
    <xf numFmtId="0" fontId="20" fillId="0" borderId="42" xfId="0" applyFont="1" applyBorder="1" applyAlignment="1">
      <alignment horizontal="center" vertical="center"/>
    </xf>
    <xf numFmtId="49" fontId="20" fillId="0" borderId="42" xfId="0" applyNumberFormat="1" applyFont="1" applyBorder="1" applyAlignment="1">
      <alignment horizontal="center" vertical="center"/>
    </xf>
    <xf numFmtId="0" fontId="20" fillId="0" borderId="42" xfId="0" applyFont="1" applyFill="1" applyBorder="1" applyAlignment="1">
      <alignment horizontal="center" vertical="center"/>
    </xf>
    <xf numFmtId="43" fontId="20" fillId="0" borderId="42" xfId="1" applyFont="1" applyFill="1" applyBorder="1" applyAlignment="1">
      <alignment horizontal="center" vertical="center"/>
    </xf>
    <xf numFmtId="0" fontId="20" fillId="0" borderId="14" xfId="0" applyFont="1" applyFill="1" applyBorder="1" applyAlignment="1">
      <alignment vertical="center"/>
    </xf>
    <xf numFmtId="0" fontId="2" fillId="0" borderId="14" xfId="0" applyFont="1" applyBorder="1"/>
    <xf numFmtId="0" fontId="2" fillId="0" borderId="14" xfId="0" applyFont="1" applyBorder="1" applyAlignment="1">
      <alignment wrapText="1"/>
    </xf>
    <xf numFmtId="0" fontId="2" fillId="0" borderId="14" xfId="0" applyFont="1" applyFill="1" applyBorder="1"/>
    <xf numFmtId="0" fontId="2" fillId="0" borderId="0" xfId="0" applyFont="1"/>
    <xf numFmtId="0" fontId="2" fillId="0" borderId="0" xfId="0" applyFont="1" applyAlignment="1">
      <alignment wrapText="1"/>
    </xf>
    <xf numFmtId="0" fontId="2" fillId="0" borderId="14" xfId="0" applyFont="1" applyBorder="1" applyAlignment="1">
      <alignment horizontal="left"/>
    </xf>
    <xf numFmtId="0" fontId="21" fillId="0" borderId="14" xfId="0" applyFont="1" applyBorder="1"/>
    <xf numFmtId="0" fontId="21" fillId="0" borderId="14" xfId="0" applyFont="1" applyBorder="1" applyAlignment="1">
      <alignment horizontal="left"/>
    </xf>
    <xf numFmtId="0" fontId="21" fillId="0" borderId="14" xfId="0" applyFont="1" applyBorder="1" applyAlignment="1">
      <alignment wrapText="1"/>
    </xf>
    <xf numFmtId="0" fontId="22" fillId="0" borderId="0" xfId="0" applyFont="1" applyBorder="1"/>
    <xf numFmtId="0" fontId="2" fillId="0" borderId="0" xfId="0" applyFont="1" applyAlignment="1">
      <alignment horizontal="left"/>
    </xf>
    <xf numFmtId="2" fontId="21" fillId="0" borderId="14" xfId="0" applyNumberFormat="1" applyFont="1" applyBorder="1"/>
    <xf numFmtId="0" fontId="17" fillId="2" borderId="16" xfId="0" applyFont="1" applyFill="1" applyBorder="1" applyAlignment="1" applyProtection="1">
      <alignment horizontal="center"/>
      <protection locked="0"/>
    </xf>
    <xf numFmtId="0" fontId="17" fillId="2" borderId="39" xfId="0" applyFont="1" applyFill="1" applyBorder="1" applyAlignment="1" applyProtection="1">
      <alignment horizontal="center"/>
      <protection locked="0"/>
    </xf>
    <xf numFmtId="0" fontId="17" fillId="2" borderId="38" xfId="0" applyFont="1" applyFill="1" applyBorder="1" applyAlignment="1" applyProtection="1">
      <alignment horizontal="center"/>
      <protection locked="0"/>
    </xf>
    <xf numFmtId="0" fontId="16" fillId="0" borderId="14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6" fillId="0" borderId="0" xfId="0" applyFont="1" applyBorder="1" applyAlignment="1" applyProtection="1">
      <alignment horizontal="left" vertical="top"/>
      <protection locked="0"/>
    </xf>
    <xf numFmtId="0" fontId="3" fillId="0" borderId="23" xfId="0" applyFont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horizontal="right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9" fillId="0" borderId="1" xfId="0" applyFont="1" applyBorder="1" applyAlignment="1" applyProtection="1">
      <alignment horizontal="center"/>
      <protection hidden="1"/>
    </xf>
    <xf numFmtId="0" fontId="1" fillId="2" borderId="29" xfId="0" applyFont="1" applyFill="1" applyBorder="1" applyAlignment="1" applyProtection="1">
      <alignment horizontal="center"/>
      <protection hidden="1"/>
    </xf>
    <xf numFmtId="0" fontId="1" fillId="2" borderId="2" xfId="0" applyFont="1" applyFill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3" fillId="0" borderId="27" xfId="0" applyFon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hidden="1"/>
    </xf>
    <xf numFmtId="0" fontId="10" fillId="0" borderId="32" xfId="0" applyFont="1" applyBorder="1" applyAlignment="1" applyProtection="1">
      <alignment horizontal="center" vertical="center" wrapText="1"/>
      <protection hidden="1"/>
    </xf>
    <xf numFmtId="0" fontId="10" fillId="0" borderId="27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 vertical="top"/>
      <protection hidden="1"/>
    </xf>
    <xf numFmtId="0" fontId="7" fillId="0" borderId="3" xfId="0" applyFont="1" applyBorder="1" applyAlignment="1" applyProtection="1">
      <alignment horizontal="center" wrapText="1"/>
      <protection hidden="1"/>
    </xf>
    <xf numFmtId="0" fontId="7" fillId="0" borderId="4" xfId="0" applyFont="1" applyBorder="1" applyAlignment="1" applyProtection="1">
      <alignment horizontal="center" wrapText="1"/>
      <protection hidden="1"/>
    </xf>
    <xf numFmtId="0" fontId="7" fillId="0" borderId="5" xfId="0" applyFont="1" applyBorder="1" applyAlignment="1" applyProtection="1">
      <alignment horizontal="center" wrapText="1"/>
      <protection hidden="1"/>
    </xf>
    <xf numFmtId="0" fontId="8" fillId="0" borderId="31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left" vertical="center"/>
      <protection hidden="1"/>
    </xf>
    <xf numFmtId="0" fontId="8" fillId="0" borderId="26" xfId="0" applyFont="1" applyBorder="1" applyAlignment="1" applyProtection="1">
      <alignment horizontal="left" vertical="center"/>
      <protection hidden="1"/>
    </xf>
    <xf numFmtId="0" fontId="8" fillId="0" borderId="9" xfId="0" applyFont="1" applyBorder="1" applyAlignment="1" applyProtection="1">
      <alignment horizontal="left" vertical="center"/>
      <protection hidden="1"/>
    </xf>
    <xf numFmtId="0" fontId="8" fillId="0" borderId="33" xfId="0" applyFont="1" applyBorder="1" applyAlignment="1" applyProtection="1">
      <alignment horizontal="left" vertical="center"/>
      <protection hidden="1"/>
    </xf>
    <xf numFmtId="0" fontId="8" fillId="0" borderId="10" xfId="0" applyFont="1" applyBorder="1" applyAlignment="1" applyProtection="1">
      <alignment horizontal="left" vertical="center"/>
      <protection hidden="1"/>
    </xf>
    <xf numFmtId="0" fontId="4" fillId="0" borderId="11" xfId="0" applyFont="1" applyBorder="1" applyAlignment="1" applyProtection="1">
      <alignment horizontal="left" vertical="top" wrapText="1"/>
      <protection hidden="1"/>
    </xf>
    <xf numFmtId="0" fontId="0" fillId="0" borderId="6" xfId="0" applyBorder="1" applyAlignment="1" applyProtection="1">
      <alignment horizontal="left" vertical="top" wrapText="1"/>
      <protection hidden="1"/>
    </xf>
    <xf numFmtId="0" fontId="0" fillId="0" borderId="8" xfId="0" applyBorder="1" applyAlignment="1" applyProtection="1">
      <alignment horizontal="left" vertical="top" wrapText="1"/>
      <protection hidden="1"/>
    </xf>
    <xf numFmtId="0" fontId="0" fillId="0" borderId="12" xfId="0" applyBorder="1" applyAlignment="1" applyProtection="1">
      <alignment horizontal="left" vertical="top" wrapText="1"/>
      <protection hidden="1"/>
    </xf>
    <xf numFmtId="0" fontId="0" fillId="0" borderId="0" xfId="0" applyBorder="1" applyAlignment="1" applyProtection="1">
      <alignment horizontal="left" vertical="top" wrapText="1"/>
      <protection hidden="1"/>
    </xf>
    <xf numFmtId="0" fontId="0" fillId="0" borderId="9" xfId="0" applyBorder="1" applyAlignment="1" applyProtection="1">
      <alignment horizontal="left" vertical="top" wrapText="1"/>
      <protection hidden="1"/>
    </xf>
    <xf numFmtId="0" fontId="0" fillId="0" borderId="13" xfId="0" applyBorder="1" applyAlignment="1" applyProtection="1">
      <alignment horizontal="left" vertical="top" wrapText="1"/>
      <protection hidden="1"/>
    </xf>
    <xf numFmtId="0" fontId="0" fillId="0" borderId="1" xfId="0" applyBorder="1" applyAlignment="1" applyProtection="1">
      <alignment horizontal="left" vertical="top" wrapText="1"/>
      <protection hidden="1"/>
    </xf>
    <xf numFmtId="0" fontId="0" fillId="0" borderId="10" xfId="0" applyBorder="1" applyAlignment="1" applyProtection="1">
      <alignment horizontal="left" vertical="top" wrapText="1"/>
      <protection hidden="1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0" fontId="19" fillId="0" borderId="20" xfId="0" applyFont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20</xdr:row>
      <xdr:rowOff>57151</xdr:rowOff>
    </xdr:from>
    <xdr:to>
      <xdr:col>11</xdr:col>
      <xdr:colOff>733425</xdr:colOff>
      <xdr:row>22</xdr:row>
      <xdr:rowOff>285750</xdr:rowOff>
    </xdr:to>
    <xdr:sp macro="[0]!STAR" textlink="">
      <xdr:nvSpPr>
        <xdr:cNvPr id="3" name="Rectángulo redondeado 2"/>
        <xdr:cNvSpPr/>
      </xdr:nvSpPr>
      <xdr:spPr>
        <a:xfrm>
          <a:off x="8496300" y="4400551"/>
          <a:ext cx="2228850" cy="66674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1552708</xdr:colOff>
      <xdr:row>0</xdr:row>
      <xdr:rowOff>52192</xdr:rowOff>
    </xdr:from>
    <xdr:to>
      <xdr:col>6</xdr:col>
      <xdr:colOff>2896645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6797982" y="52192"/>
          <a:ext cx="1343937" cy="4305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3" zoomScaleNormal="73" workbookViewId="0">
      <selection activeCell="A26" sqref="A26"/>
    </sheetView>
  </sheetViews>
  <sheetFormatPr baseColWidth="10" defaultColWidth="11.42578125" defaultRowHeight="15" x14ac:dyDescent="0.25"/>
  <cols>
    <col min="1" max="1" width="10" style="23" customWidth="1"/>
    <col min="2" max="2" width="4.28515625" style="23" customWidth="1"/>
    <col min="3" max="3" width="22.42578125" style="23" customWidth="1"/>
    <col min="4" max="4" width="11.42578125" style="23" customWidth="1"/>
    <col min="5" max="5" width="11.28515625" style="23" customWidth="1"/>
    <col min="6" max="6" width="19.140625" style="23" customWidth="1"/>
    <col min="7" max="7" width="47.7109375" style="23" customWidth="1"/>
    <col min="8" max="8" width="17" style="23" customWidth="1"/>
    <col min="9" max="9" width="11.85546875" style="23" bestFit="1" customWidth="1"/>
    <col min="10" max="16384" width="11.42578125" style="23"/>
  </cols>
  <sheetData>
    <row r="1" spans="1:26" ht="25.5" customHeight="1" x14ac:dyDescent="0.5">
      <c r="A1" s="37" t="s">
        <v>5</v>
      </c>
      <c r="B1" s="96" t="s">
        <v>401</v>
      </c>
      <c r="C1" s="96"/>
      <c r="D1" s="96"/>
      <c r="E1" s="96"/>
      <c r="F1" s="38"/>
      <c r="G1" s="39">
        <v>10</v>
      </c>
      <c r="J1" s="23" t="s">
        <v>14</v>
      </c>
    </row>
    <row r="2" spans="1:26" ht="17.25" customHeight="1" x14ac:dyDescent="0.3">
      <c r="A2" s="40" t="s">
        <v>6</v>
      </c>
      <c r="B2" s="97" t="str">
        <f>VLOOKUP(I3,'Base de Datos'!J2:L195,2,FALSE)</f>
        <v>2DA. CALLE LA COLINA 11-02 ZONA 1</v>
      </c>
      <c r="C2" s="97"/>
      <c r="D2" s="97"/>
      <c r="E2" s="97"/>
      <c r="F2" s="104" t="str">
        <f>VLOOKUP(I3,'Base de Datos'!J2:L195,3,FALSE)</f>
        <v>CHIQUIMULA - GUATEMALA</v>
      </c>
      <c r="G2" s="105"/>
      <c r="I2" s="24" t="s">
        <v>2</v>
      </c>
      <c r="J2" s="24" t="s">
        <v>112</v>
      </c>
      <c r="K2" s="25"/>
      <c r="L2" s="57"/>
      <c r="M2" s="26"/>
      <c r="N2" s="26"/>
    </row>
    <row r="3" spans="1:26" ht="18.75" x14ac:dyDescent="0.3">
      <c r="A3" s="40" t="s">
        <v>8</v>
      </c>
      <c r="B3" s="110" t="s">
        <v>402</v>
      </c>
      <c r="C3" s="110"/>
      <c r="D3" s="110"/>
      <c r="E3" s="110"/>
      <c r="F3" s="60"/>
      <c r="G3" s="59"/>
      <c r="I3" s="36">
        <v>11</v>
      </c>
      <c r="J3" s="36">
        <v>2</v>
      </c>
      <c r="K3" s="25"/>
      <c r="L3" s="58"/>
      <c r="M3" s="26"/>
      <c r="N3" s="26"/>
      <c r="X3" s="23">
        <v>3</v>
      </c>
    </row>
    <row r="4" spans="1:26" ht="18.75" x14ac:dyDescent="0.3">
      <c r="A4" s="41" t="s">
        <v>6</v>
      </c>
      <c r="B4" s="103" t="str">
        <f>VLOOKUP(J3,'Base de Datos'!A2:F82,2,FALSE)</f>
        <v>10 COURTNEY LN</v>
      </c>
      <c r="C4" s="103"/>
      <c r="D4" s="103" t="str">
        <f>VLOOKUP(J3,'Base de Datos'!A2:F82,3,FALSE)</f>
        <v>BREWSTER</v>
      </c>
      <c r="E4" s="103"/>
      <c r="F4" s="51" t="str">
        <f>VLOOKUP(J3,'Base de Datos'!A2:F82,4,FALSE)</f>
        <v>NY</v>
      </c>
      <c r="G4" s="52">
        <f>VLOOKUP(J3,'Base de Datos'!A2:F82,5,FALSE)</f>
        <v>10549</v>
      </c>
      <c r="L4" s="26"/>
      <c r="M4" s="26"/>
      <c r="N4" s="26"/>
    </row>
    <row r="5" spans="1:26" ht="20.25" customHeight="1" x14ac:dyDescent="0.3">
      <c r="A5" s="41" t="s">
        <v>9</v>
      </c>
      <c r="B5" s="107">
        <v>56516</v>
      </c>
      <c r="C5" s="107"/>
      <c r="D5" s="104"/>
      <c r="E5" s="104"/>
      <c r="F5" s="53" t="s">
        <v>4</v>
      </c>
      <c r="G5" s="54">
        <f ca="1">TODAY()</f>
        <v>44808</v>
      </c>
      <c r="L5" s="26"/>
      <c r="M5" s="26"/>
      <c r="N5" s="26"/>
      <c r="Z5" s="27"/>
    </row>
    <row r="6" spans="1:26" ht="8.25" customHeight="1" x14ac:dyDescent="0.25">
      <c r="A6" s="41"/>
      <c r="B6" s="32"/>
      <c r="C6" s="32"/>
      <c r="D6" s="32"/>
      <c r="E6" s="32"/>
      <c r="F6" s="32"/>
      <c r="G6" s="42"/>
    </row>
    <row r="7" spans="1:26" ht="16.5" customHeight="1" x14ac:dyDescent="0.25">
      <c r="A7" s="101" t="s">
        <v>0</v>
      </c>
      <c r="B7" s="102"/>
      <c r="C7" s="102" t="s">
        <v>1</v>
      </c>
      <c r="D7" s="102"/>
      <c r="E7" s="102"/>
      <c r="F7" s="33" t="s">
        <v>10</v>
      </c>
      <c r="G7" s="43" t="s">
        <v>11</v>
      </c>
      <c r="J7" s="29"/>
      <c r="K7" s="29"/>
      <c r="L7" s="29"/>
    </row>
    <row r="8" spans="1:26" ht="15" customHeight="1" x14ac:dyDescent="0.25">
      <c r="A8" s="115" t="s">
        <v>23</v>
      </c>
      <c r="B8" s="116"/>
      <c r="C8" s="121" t="s">
        <v>397</v>
      </c>
      <c r="D8" s="122"/>
      <c r="E8" s="123"/>
      <c r="F8" s="112">
        <v>66</v>
      </c>
      <c r="G8" s="108" t="s">
        <v>400</v>
      </c>
      <c r="J8" s="29"/>
      <c r="K8" s="29"/>
      <c r="L8" s="29"/>
    </row>
    <row r="9" spans="1:26" ht="15" customHeight="1" x14ac:dyDescent="0.25">
      <c r="A9" s="117"/>
      <c r="B9" s="118"/>
      <c r="C9" s="124"/>
      <c r="D9" s="125"/>
      <c r="E9" s="126"/>
      <c r="F9" s="113"/>
      <c r="G9" s="109"/>
      <c r="I9" s="30"/>
      <c r="J9" s="29"/>
      <c r="K9" s="29"/>
      <c r="L9" s="29"/>
    </row>
    <row r="10" spans="1:26" ht="15" customHeight="1" x14ac:dyDescent="0.25">
      <c r="A10" s="117"/>
      <c r="B10" s="118"/>
      <c r="C10" s="124"/>
      <c r="D10" s="125"/>
      <c r="E10" s="126"/>
      <c r="F10" s="113"/>
      <c r="G10" s="109"/>
      <c r="I10" s="28"/>
      <c r="J10" s="29"/>
      <c r="K10" s="29"/>
      <c r="L10" s="29"/>
    </row>
    <row r="11" spans="1:26" ht="15" customHeight="1" x14ac:dyDescent="0.25">
      <c r="A11" s="117"/>
      <c r="B11" s="118"/>
      <c r="C11" s="124"/>
      <c r="D11" s="125"/>
      <c r="E11" s="126"/>
      <c r="F11" s="113"/>
      <c r="G11" s="109"/>
    </row>
    <row r="12" spans="1:26" ht="27" customHeight="1" x14ac:dyDescent="0.25">
      <c r="A12" s="117"/>
      <c r="B12" s="118"/>
      <c r="C12" s="124"/>
      <c r="D12" s="125"/>
      <c r="E12" s="126"/>
      <c r="F12" s="113" t="s">
        <v>13</v>
      </c>
      <c r="G12" s="109"/>
    </row>
    <row r="13" spans="1:26" ht="25.5" customHeight="1" x14ac:dyDescent="0.45">
      <c r="A13" s="119"/>
      <c r="B13" s="120"/>
      <c r="C13" s="127"/>
      <c r="D13" s="128"/>
      <c r="E13" s="129"/>
      <c r="F13" s="114"/>
      <c r="G13" s="44" t="s">
        <v>321</v>
      </c>
    </row>
    <row r="14" spans="1:26" ht="4.5" customHeight="1" x14ac:dyDescent="0.25">
      <c r="A14" s="45"/>
      <c r="B14" s="34"/>
      <c r="C14" s="34"/>
      <c r="D14" s="34"/>
      <c r="E14" s="34"/>
      <c r="F14" s="34"/>
      <c r="G14" s="46"/>
    </row>
    <row r="15" spans="1:26" ht="18.75" x14ac:dyDescent="0.3">
      <c r="A15" s="98" t="s">
        <v>3</v>
      </c>
      <c r="B15" s="99"/>
      <c r="C15" s="100" t="s">
        <v>398</v>
      </c>
      <c r="D15" s="100"/>
      <c r="E15" s="100"/>
      <c r="F15" s="35" t="s">
        <v>7</v>
      </c>
      <c r="G15" s="47" t="str">
        <f>F2</f>
        <v>CHIQUIMULA - GUATEMALA</v>
      </c>
      <c r="H15" s="28"/>
      <c r="I15" s="28"/>
    </row>
    <row r="16" spans="1:26" ht="9" customHeight="1" thickBot="1" x14ac:dyDescent="0.3">
      <c r="A16" s="48"/>
      <c r="B16" s="49"/>
      <c r="C16" s="49"/>
      <c r="D16" s="49"/>
      <c r="E16" s="49"/>
      <c r="F16" s="49"/>
      <c r="G16" s="50"/>
      <c r="H16" s="28"/>
    </row>
    <row r="17" spans="1:14" ht="20.25" customHeight="1" x14ac:dyDescent="0.25">
      <c r="A17" s="111" t="s">
        <v>12</v>
      </c>
      <c r="B17" s="111"/>
      <c r="C17" s="111"/>
      <c r="D17" s="111"/>
      <c r="E17" s="111"/>
      <c r="F17" s="111"/>
      <c r="G17" s="111"/>
      <c r="H17" s="28"/>
      <c r="J17" s="94" t="s">
        <v>301</v>
      </c>
      <c r="K17" s="94"/>
      <c r="L17" s="94"/>
      <c r="M17" s="26"/>
      <c r="N17" s="26"/>
    </row>
    <row r="18" spans="1:14" ht="11.25" customHeight="1" x14ac:dyDescent="0.25">
      <c r="A18" s="35"/>
      <c r="B18" s="35"/>
      <c r="C18" s="35"/>
      <c r="D18" s="35"/>
      <c r="E18" s="35"/>
      <c r="F18" s="35"/>
      <c r="G18" s="35"/>
      <c r="J18" s="94"/>
      <c r="K18" s="94"/>
      <c r="L18" s="94"/>
      <c r="M18" s="26"/>
      <c r="N18" s="26"/>
    </row>
    <row r="19" spans="1:14" ht="21.75" customHeight="1" x14ac:dyDescent="0.25">
      <c r="A19" s="31"/>
      <c r="B19" s="31"/>
      <c r="C19" s="31"/>
      <c r="D19" s="31"/>
      <c r="E19" s="31"/>
      <c r="F19" s="31"/>
      <c r="G19" s="31"/>
      <c r="J19" s="94"/>
      <c r="K19" s="94"/>
      <c r="L19" s="94"/>
      <c r="M19" s="26"/>
      <c r="N19" s="26"/>
    </row>
    <row r="20" spans="1:14" ht="15.75" customHeight="1" x14ac:dyDescent="0.25">
      <c r="A20" s="31"/>
      <c r="B20" s="31"/>
      <c r="C20" s="31"/>
      <c r="D20" s="31"/>
      <c r="E20" s="31"/>
      <c r="F20" s="31"/>
      <c r="G20" s="31"/>
    </row>
    <row r="21" spans="1:14" ht="18.75" customHeight="1" x14ac:dyDescent="0.25">
      <c r="A21" s="31"/>
      <c r="B21" s="31"/>
      <c r="C21" s="31"/>
      <c r="D21" s="31"/>
      <c r="E21" s="31" t="s">
        <v>320</v>
      </c>
      <c r="F21" s="31"/>
      <c r="G21" s="31"/>
      <c r="J21" s="106"/>
      <c r="K21" s="106"/>
      <c r="L21" s="106"/>
    </row>
    <row r="22" spans="1:14" ht="15.75" customHeight="1" x14ac:dyDescent="0.25">
      <c r="A22" s="31"/>
      <c r="B22" s="31"/>
      <c r="C22" s="31"/>
      <c r="D22" s="31"/>
      <c r="E22" s="31"/>
      <c r="F22" s="31"/>
      <c r="G22" s="31"/>
      <c r="J22" s="106"/>
      <c r="K22" s="106"/>
      <c r="L22" s="106"/>
    </row>
    <row r="23" spans="1:14" ht="21.75" customHeight="1" x14ac:dyDescent="0.25">
      <c r="A23" s="31"/>
      <c r="B23" s="31"/>
      <c r="C23" s="31"/>
      <c r="D23" s="31"/>
      <c r="E23" s="31"/>
      <c r="F23" s="31"/>
      <c r="G23" s="31"/>
      <c r="J23" s="106"/>
      <c r="K23" s="106"/>
      <c r="L23" s="106"/>
    </row>
    <row r="24" spans="1:14" x14ac:dyDescent="0.25">
      <c r="A24" s="31"/>
      <c r="B24" s="31"/>
      <c r="C24" s="31"/>
      <c r="D24" s="31"/>
      <c r="E24" s="31"/>
      <c r="F24" s="31"/>
      <c r="G24" s="31"/>
    </row>
    <row r="25" spans="1:14" x14ac:dyDescent="0.25">
      <c r="A25" s="31"/>
      <c r="B25" s="31"/>
      <c r="C25" s="31"/>
      <c r="D25" s="31"/>
      <c r="E25" s="31"/>
      <c r="F25" s="31"/>
      <c r="G25" s="31"/>
    </row>
    <row r="26" spans="1:14" ht="33.75" customHeight="1" x14ac:dyDescent="0.45">
      <c r="A26" s="31"/>
      <c r="B26" s="31"/>
      <c r="C26" s="31"/>
      <c r="D26" s="31"/>
      <c r="E26" s="31"/>
      <c r="F26" s="31"/>
      <c r="G26" s="31"/>
      <c r="I26" s="90" t="s">
        <v>324</v>
      </c>
      <c r="J26" s="91"/>
      <c r="K26" s="91"/>
      <c r="L26" s="92"/>
      <c r="M26" s="26"/>
      <c r="N26" s="26"/>
    </row>
    <row r="27" spans="1:14" ht="45" customHeight="1" x14ac:dyDescent="0.5">
      <c r="A27" s="31"/>
      <c r="B27" s="31"/>
      <c r="C27" s="31"/>
      <c r="D27" s="31"/>
      <c r="E27" s="31"/>
      <c r="F27" s="31"/>
      <c r="G27" s="31"/>
      <c r="I27" s="93">
        <f>SUM(Manifiesto!E3:E1048576)</f>
        <v>0</v>
      </c>
      <c r="J27" s="93"/>
      <c r="K27" s="93"/>
      <c r="L27" s="93"/>
      <c r="M27" s="26"/>
      <c r="N27" s="26"/>
    </row>
    <row r="28" spans="1:14" ht="15" customHeight="1" x14ac:dyDescent="0.25">
      <c r="A28" s="31"/>
      <c r="B28" s="31"/>
      <c r="C28" s="31"/>
      <c r="D28" s="31"/>
      <c r="E28" s="31"/>
      <c r="F28" s="31"/>
      <c r="G28" s="31"/>
      <c r="J28" s="26"/>
      <c r="K28" s="26"/>
      <c r="L28" s="26"/>
      <c r="M28" s="26"/>
      <c r="N28" s="26"/>
    </row>
    <row r="29" spans="1:14" ht="18.75" customHeight="1" x14ac:dyDescent="0.25">
      <c r="A29" s="31"/>
      <c r="B29" s="31"/>
      <c r="C29" s="31"/>
      <c r="D29" s="31"/>
      <c r="E29" s="31"/>
      <c r="F29" s="31"/>
      <c r="G29" s="31"/>
    </row>
    <row r="30" spans="1:14" ht="15" customHeight="1" x14ac:dyDescent="0.25">
      <c r="A30" s="31"/>
      <c r="B30" s="31"/>
      <c r="C30" s="31"/>
      <c r="D30" s="31"/>
      <c r="E30" s="31"/>
      <c r="F30" s="31"/>
      <c r="G30" s="31"/>
    </row>
    <row r="31" spans="1:14" ht="34.5" customHeight="1" x14ac:dyDescent="0.25">
      <c r="A31" s="31"/>
      <c r="B31" s="31"/>
      <c r="C31" s="31"/>
      <c r="D31" s="31"/>
      <c r="E31" s="31"/>
      <c r="F31" s="31"/>
      <c r="G31" s="31"/>
    </row>
    <row r="32" spans="1:14" ht="6" customHeight="1" x14ac:dyDescent="0.25">
      <c r="A32" s="31"/>
      <c r="B32" s="31"/>
      <c r="C32" s="31"/>
      <c r="D32" s="31"/>
      <c r="E32" s="31"/>
      <c r="F32" s="31"/>
      <c r="G32" s="31"/>
    </row>
    <row r="33" spans="1:7" ht="18.75" customHeight="1" x14ac:dyDescent="0.25">
      <c r="A33" s="31"/>
      <c r="B33" s="31"/>
      <c r="C33" s="31"/>
      <c r="D33" s="31"/>
      <c r="E33" s="31"/>
      <c r="F33" s="31"/>
      <c r="G33" s="31"/>
    </row>
    <row r="34" spans="1:7" x14ac:dyDescent="0.25">
      <c r="A34" s="28"/>
      <c r="B34" s="28"/>
      <c r="C34" s="28"/>
      <c r="D34" s="28"/>
      <c r="E34" s="28"/>
      <c r="F34" s="28"/>
      <c r="G34" s="28"/>
    </row>
    <row r="35" spans="1:7" x14ac:dyDescent="0.25">
      <c r="A35" s="95"/>
      <c r="B35" s="95"/>
      <c r="C35" s="95"/>
      <c r="D35" s="95"/>
      <c r="E35" s="95"/>
      <c r="F35" s="95"/>
      <c r="G35" s="95"/>
    </row>
    <row r="36" spans="1:7" ht="9" customHeight="1" x14ac:dyDescent="0.25">
      <c r="A36" s="28"/>
      <c r="B36" s="28"/>
      <c r="C36" s="28"/>
      <c r="D36" s="28"/>
      <c r="E36" s="28"/>
      <c r="F36" s="28"/>
      <c r="G36" s="28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J17:L19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</mergeCells>
  <pageMargins left="0.23" right="0.18" top="0.35" bottom="0.75" header="0.21" footer="0.3"/>
  <pageSetup scale="3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73" zoomScaleNormal="100" workbookViewId="0">
      <selection activeCell="A96" sqref="A96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15" t="str">
        <f t="shared" ref="G2:G66" si="0">((B2&amp;" "&amp;C2)&amp;" "&amp;D2)&amp;" "&amp;E2</f>
        <v>1 MAPLE ST NEW YORK HILLS NY 10080</v>
      </c>
      <c r="J2" s="14">
        <v>1</v>
      </c>
      <c r="K2" s="14" t="s">
        <v>114</v>
      </c>
      <c r="L2" s="14" t="s">
        <v>269</v>
      </c>
      <c r="N2" s="15"/>
      <c r="O2" s="15"/>
      <c r="P2" s="15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14">
        <v>2</v>
      </c>
      <c r="K3" s="14" t="s">
        <v>115</v>
      </c>
      <c r="L3" s="14" t="s">
        <v>269</v>
      </c>
      <c r="N3" s="15"/>
      <c r="O3" s="15"/>
      <c r="P3" s="15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14">
        <v>3</v>
      </c>
      <c r="K4" s="14" t="s">
        <v>116</v>
      </c>
      <c r="L4" s="14" t="s">
        <v>269</v>
      </c>
      <c r="N4" s="15"/>
      <c r="O4" s="15"/>
      <c r="P4" s="15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14">
        <v>4</v>
      </c>
      <c r="K5" s="14" t="s">
        <v>117</v>
      </c>
      <c r="L5" s="14" t="s">
        <v>269</v>
      </c>
      <c r="N5" s="15"/>
      <c r="O5" s="15"/>
      <c r="P5" s="15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14">
        <v>5</v>
      </c>
      <c r="K6" s="14" t="s">
        <v>118</v>
      </c>
      <c r="L6" s="14" t="s">
        <v>269</v>
      </c>
      <c r="N6" s="15"/>
      <c r="O6" s="15"/>
      <c r="P6" s="15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14">
        <v>6</v>
      </c>
      <c r="K7" s="14" t="s">
        <v>119</v>
      </c>
      <c r="L7" s="14" t="s">
        <v>269</v>
      </c>
      <c r="N7" s="15"/>
      <c r="O7" s="15"/>
      <c r="P7" s="15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14">
        <v>7</v>
      </c>
      <c r="K8" s="14" t="s">
        <v>120</v>
      </c>
      <c r="L8" s="14" t="s">
        <v>269</v>
      </c>
      <c r="N8" s="15"/>
      <c r="O8" s="15"/>
      <c r="P8" s="15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14">
        <v>8</v>
      </c>
      <c r="K9" s="14" t="s">
        <v>121</v>
      </c>
      <c r="L9" s="14" t="s">
        <v>269</v>
      </c>
      <c r="N9" s="15"/>
      <c r="O9" s="15"/>
      <c r="P9" s="15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14">
        <v>9</v>
      </c>
      <c r="K10" s="14" t="s">
        <v>122</v>
      </c>
      <c r="L10" s="14" t="s">
        <v>269</v>
      </c>
      <c r="N10" s="15"/>
      <c r="O10" s="15"/>
      <c r="P10" s="15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14">
        <v>10</v>
      </c>
      <c r="K11" s="14" t="s">
        <v>123</v>
      </c>
      <c r="L11" s="14" t="s">
        <v>269</v>
      </c>
      <c r="N11" s="15"/>
      <c r="O11" s="15"/>
      <c r="P11" s="15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14">
        <v>11</v>
      </c>
      <c r="K12" s="14" t="s">
        <v>124</v>
      </c>
      <c r="L12" s="14" t="s">
        <v>269</v>
      </c>
      <c r="N12" s="15"/>
      <c r="O12" s="15"/>
      <c r="P12" s="15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14">
        <v>12</v>
      </c>
      <c r="K13" s="14" t="s">
        <v>125</v>
      </c>
      <c r="L13" s="14" t="s">
        <v>269</v>
      </c>
      <c r="N13" s="15"/>
      <c r="O13" s="15"/>
      <c r="P13" s="15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14">
        <v>13</v>
      </c>
      <c r="K14" s="14" t="s">
        <v>126</v>
      </c>
      <c r="L14" s="14" t="s">
        <v>269</v>
      </c>
      <c r="N14" s="15"/>
      <c r="O14" s="15"/>
      <c r="P14" s="15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14">
        <v>14</v>
      </c>
      <c r="K15" s="14" t="s">
        <v>127</v>
      </c>
      <c r="L15" s="14" t="s">
        <v>269</v>
      </c>
      <c r="N15" s="15"/>
      <c r="O15" s="15"/>
      <c r="P15" s="15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14">
        <v>15</v>
      </c>
      <c r="K16" s="14" t="s">
        <v>128</v>
      </c>
      <c r="L16" s="14" t="s">
        <v>269</v>
      </c>
      <c r="N16" s="15"/>
      <c r="O16" s="15"/>
      <c r="P16" s="15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14">
        <v>16</v>
      </c>
      <c r="K17" s="14" t="s">
        <v>129</v>
      </c>
      <c r="L17" s="14" t="s">
        <v>269</v>
      </c>
      <c r="N17" s="15"/>
      <c r="O17" s="15"/>
      <c r="P17" s="15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14">
        <v>17</v>
      </c>
      <c r="K18" s="14" t="s">
        <v>130</v>
      </c>
      <c r="L18" s="14" t="s">
        <v>269</v>
      </c>
      <c r="N18" s="15"/>
      <c r="O18" s="15"/>
      <c r="P18" s="15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14">
        <v>18</v>
      </c>
      <c r="K19" s="14" t="s">
        <v>131</v>
      </c>
      <c r="L19" s="14" t="s">
        <v>269</v>
      </c>
      <c r="N19" s="15"/>
      <c r="O19" s="15"/>
      <c r="P19" s="15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14">
        <v>19</v>
      </c>
      <c r="K20" s="14" t="s">
        <v>132</v>
      </c>
      <c r="L20" s="14" t="s">
        <v>269</v>
      </c>
      <c r="N20" s="15"/>
      <c r="O20" s="15"/>
      <c r="P20" s="15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14">
        <v>20</v>
      </c>
      <c r="K21" s="14" t="s">
        <v>133</v>
      </c>
      <c r="L21" s="14" t="s">
        <v>269</v>
      </c>
      <c r="N21" s="15"/>
      <c r="O21" s="15"/>
      <c r="P21" s="15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14">
        <v>21</v>
      </c>
      <c r="K22" s="14" t="s">
        <v>134</v>
      </c>
      <c r="L22" s="14" t="s">
        <v>269</v>
      </c>
      <c r="N22" s="15"/>
      <c r="O22" s="15"/>
      <c r="P22" s="15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14">
        <v>22</v>
      </c>
      <c r="K23" s="14" t="s">
        <v>135</v>
      </c>
      <c r="L23" s="14" t="s">
        <v>269</v>
      </c>
      <c r="N23" s="15"/>
      <c r="O23" s="15"/>
      <c r="P23" s="15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14">
        <v>23</v>
      </c>
      <c r="K24" s="14" t="s">
        <v>136</v>
      </c>
      <c r="L24" s="14" t="s">
        <v>269</v>
      </c>
      <c r="N24" s="15"/>
      <c r="O24" s="15"/>
      <c r="P24" s="15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14">
        <v>24</v>
      </c>
      <c r="K25" s="14" t="s">
        <v>137</v>
      </c>
      <c r="L25" s="14" t="s">
        <v>269</v>
      </c>
      <c r="N25" s="15"/>
      <c r="O25" s="15"/>
      <c r="P25" s="15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14">
        <v>25</v>
      </c>
      <c r="K26" s="14" t="s">
        <v>302</v>
      </c>
      <c r="L26" s="14" t="s">
        <v>269</v>
      </c>
      <c r="N26" s="15"/>
      <c r="O26" s="15"/>
      <c r="P26" s="15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14">
        <v>26</v>
      </c>
      <c r="K27" s="14" t="s">
        <v>303</v>
      </c>
      <c r="L27" s="14" t="s">
        <v>269</v>
      </c>
      <c r="N27" s="15"/>
      <c r="O27" s="15"/>
      <c r="P27" s="15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14">
        <v>27</v>
      </c>
      <c r="K28" s="14" t="s">
        <v>304</v>
      </c>
      <c r="L28" s="14" t="s">
        <v>269</v>
      </c>
      <c r="N28" s="15"/>
      <c r="O28" s="15"/>
      <c r="P28" s="15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14">
        <v>28</v>
      </c>
      <c r="K29" s="14" t="s">
        <v>305</v>
      </c>
      <c r="L29" s="14" t="s">
        <v>269</v>
      </c>
      <c r="N29" s="15"/>
      <c r="O29" s="15"/>
      <c r="P29" s="15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14">
        <v>29</v>
      </c>
      <c r="K30" s="14" t="s">
        <v>306</v>
      </c>
      <c r="L30" s="14" t="s">
        <v>269</v>
      </c>
      <c r="N30" s="15"/>
      <c r="O30" s="15"/>
      <c r="P30" s="15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14">
        <v>30</v>
      </c>
      <c r="K31" s="14" t="s">
        <v>307</v>
      </c>
      <c r="L31" s="14" t="s">
        <v>269</v>
      </c>
      <c r="N31" s="15"/>
      <c r="O31" s="15"/>
      <c r="P31" s="15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14">
        <v>31</v>
      </c>
      <c r="K32" s="14" t="s">
        <v>308</v>
      </c>
      <c r="L32" s="14" t="s">
        <v>269</v>
      </c>
      <c r="N32" s="15"/>
      <c r="O32" s="15"/>
      <c r="P32" s="15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14">
        <v>32</v>
      </c>
      <c r="K33" s="14" t="s">
        <v>309</v>
      </c>
      <c r="L33" s="14" t="s">
        <v>269</v>
      </c>
      <c r="N33" s="15"/>
      <c r="O33" s="15"/>
      <c r="P33" s="15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14">
        <v>33</v>
      </c>
      <c r="K34" s="14" t="s">
        <v>310</v>
      </c>
      <c r="L34" s="14" t="s">
        <v>269</v>
      </c>
      <c r="N34" s="15"/>
      <c r="O34" s="15"/>
      <c r="P34" s="15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14">
        <v>34</v>
      </c>
      <c r="K35" s="14" t="s">
        <v>311</v>
      </c>
      <c r="L35" s="14" t="s">
        <v>269</v>
      </c>
      <c r="N35" s="15"/>
      <c r="O35" s="15"/>
      <c r="P35" s="15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14">
        <v>35</v>
      </c>
      <c r="K36" s="14" t="s">
        <v>312</v>
      </c>
      <c r="L36" s="14" t="s">
        <v>269</v>
      </c>
      <c r="N36" s="15"/>
      <c r="O36" s="15"/>
      <c r="P36" s="15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14">
        <v>36</v>
      </c>
      <c r="K37" s="14" t="s">
        <v>313</v>
      </c>
      <c r="L37" s="14" t="s">
        <v>269</v>
      </c>
      <c r="N37" s="15"/>
      <c r="O37" s="15"/>
      <c r="P37" s="15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14">
        <v>37</v>
      </c>
      <c r="K38" s="14" t="s">
        <v>314</v>
      </c>
      <c r="L38" s="14" t="s">
        <v>269</v>
      </c>
      <c r="N38" s="15"/>
      <c r="O38" s="15"/>
      <c r="P38" s="15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12">
        <v>38</v>
      </c>
      <c r="K39" s="12" t="s">
        <v>138</v>
      </c>
      <c r="L39" s="12" t="s">
        <v>270</v>
      </c>
      <c r="N39" s="15"/>
      <c r="O39" s="15"/>
      <c r="P39" s="15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12">
        <v>39</v>
      </c>
      <c r="K40" s="12" t="s">
        <v>139</v>
      </c>
      <c r="L40" s="12" t="s">
        <v>270</v>
      </c>
      <c r="N40" s="15"/>
      <c r="O40" s="15"/>
      <c r="P40" s="15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12">
        <v>40</v>
      </c>
      <c r="K41" s="12" t="s">
        <v>140</v>
      </c>
      <c r="L41" s="12" t="s">
        <v>270</v>
      </c>
      <c r="N41" s="15"/>
      <c r="O41" s="15"/>
      <c r="P41" s="15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12">
        <v>41</v>
      </c>
      <c r="K42" s="12" t="s">
        <v>141</v>
      </c>
      <c r="L42" s="12" t="s">
        <v>270</v>
      </c>
      <c r="N42" s="15"/>
      <c r="O42" s="15"/>
      <c r="P42" s="15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12">
        <v>42</v>
      </c>
      <c r="K43" s="12" t="s">
        <v>142</v>
      </c>
      <c r="L43" s="12" t="s">
        <v>270</v>
      </c>
      <c r="N43" s="15"/>
      <c r="O43" s="15"/>
      <c r="P43" s="15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12">
        <v>43</v>
      </c>
      <c r="K44" s="12" t="s">
        <v>143</v>
      </c>
      <c r="L44" s="12" t="s">
        <v>270</v>
      </c>
      <c r="N44" s="15"/>
      <c r="O44" s="15"/>
      <c r="P44" s="15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12">
        <v>44</v>
      </c>
      <c r="K45" s="12" t="s">
        <v>144</v>
      </c>
      <c r="L45" s="12" t="s">
        <v>270</v>
      </c>
      <c r="N45" s="15"/>
      <c r="O45" s="15"/>
      <c r="P45" s="15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12">
        <v>45</v>
      </c>
      <c r="K46" s="12" t="s">
        <v>145</v>
      </c>
      <c r="L46" s="12" t="s">
        <v>270</v>
      </c>
      <c r="N46" s="15"/>
      <c r="O46" s="15"/>
      <c r="P46" s="15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12">
        <v>46</v>
      </c>
      <c r="K47" s="12" t="s">
        <v>146</v>
      </c>
      <c r="L47" s="12" t="s">
        <v>270</v>
      </c>
      <c r="N47" s="15"/>
      <c r="O47" s="15"/>
      <c r="P47" s="15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12">
        <v>47</v>
      </c>
      <c r="K48" s="12" t="s">
        <v>147</v>
      </c>
      <c r="L48" s="12" t="s">
        <v>270</v>
      </c>
      <c r="N48" s="15"/>
      <c r="O48" s="15"/>
      <c r="P48" s="15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12">
        <v>48</v>
      </c>
      <c r="K49" s="12" t="s">
        <v>148</v>
      </c>
      <c r="L49" s="12" t="s">
        <v>270</v>
      </c>
      <c r="N49" s="15"/>
      <c r="O49" s="15"/>
      <c r="P49" s="15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12">
        <v>49</v>
      </c>
      <c r="K50" s="12" t="s">
        <v>149</v>
      </c>
      <c r="L50" s="12" t="s">
        <v>270</v>
      </c>
      <c r="N50" s="15"/>
      <c r="O50" s="15"/>
      <c r="P50" s="15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12">
        <v>50</v>
      </c>
      <c r="K51" s="12" t="s">
        <v>150</v>
      </c>
      <c r="L51" s="12" t="s">
        <v>270</v>
      </c>
      <c r="N51" s="15"/>
      <c r="O51" s="15"/>
      <c r="P51" s="15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12">
        <v>51</v>
      </c>
      <c r="K52" s="12" t="s">
        <v>151</v>
      </c>
      <c r="L52" s="12" t="s">
        <v>270</v>
      </c>
      <c r="N52" s="15"/>
      <c r="O52" s="15"/>
      <c r="P52" s="15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12">
        <v>52</v>
      </c>
      <c r="K53" s="12" t="s">
        <v>152</v>
      </c>
      <c r="L53" s="12" t="s">
        <v>270</v>
      </c>
      <c r="N53" s="15"/>
      <c r="O53" s="15"/>
      <c r="P53" s="15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12">
        <v>53</v>
      </c>
      <c r="K54" s="12" t="s">
        <v>153</v>
      </c>
      <c r="L54" s="12" t="s">
        <v>270</v>
      </c>
      <c r="N54" s="15"/>
      <c r="O54" s="15"/>
      <c r="P54" s="15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12">
        <v>54</v>
      </c>
      <c r="K55" s="12" t="s">
        <v>154</v>
      </c>
      <c r="L55" s="12" t="s">
        <v>270</v>
      </c>
      <c r="N55" s="15"/>
      <c r="O55" s="15"/>
      <c r="P55" s="15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12">
        <v>55</v>
      </c>
      <c r="K56" s="12" t="s">
        <v>155</v>
      </c>
      <c r="L56" s="12" t="s">
        <v>270</v>
      </c>
      <c r="N56" s="15"/>
      <c r="O56" s="15"/>
      <c r="P56" s="15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12">
        <v>56</v>
      </c>
      <c r="K57" s="12" t="s">
        <v>156</v>
      </c>
      <c r="L57" s="12" t="s">
        <v>270</v>
      </c>
      <c r="N57" s="15"/>
      <c r="O57" s="15"/>
      <c r="P57" s="15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12">
        <v>57</v>
      </c>
      <c r="K58" s="12" t="s">
        <v>157</v>
      </c>
      <c r="L58" s="12" t="s">
        <v>270</v>
      </c>
      <c r="N58" s="15"/>
      <c r="O58" s="15"/>
      <c r="P58" s="15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12">
        <v>58</v>
      </c>
      <c r="K59" s="12" t="s">
        <v>158</v>
      </c>
      <c r="L59" s="12" t="s">
        <v>270</v>
      </c>
      <c r="N59" s="15"/>
      <c r="O59" s="15"/>
      <c r="P59" s="15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12">
        <v>59</v>
      </c>
      <c r="K60" s="12" t="s">
        <v>159</v>
      </c>
      <c r="L60" s="12" t="s">
        <v>270</v>
      </c>
      <c r="N60" s="15"/>
      <c r="O60" s="15"/>
      <c r="P60" s="15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12">
        <v>60</v>
      </c>
      <c r="K61" s="12" t="s">
        <v>160</v>
      </c>
      <c r="L61" s="12" t="s">
        <v>270</v>
      </c>
      <c r="N61" s="15"/>
      <c r="O61" s="15"/>
      <c r="P61" s="15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12">
        <v>61</v>
      </c>
      <c r="K62" s="12" t="s">
        <v>161</v>
      </c>
      <c r="L62" s="12" t="s">
        <v>270</v>
      </c>
      <c r="N62" s="15"/>
      <c r="O62" s="15"/>
      <c r="P62" s="15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12">
        <v>62</v>
      </c>
      <c r="K63" s="12" t="s">
        <v>162</v>
      </c>
      <c r="L63" s="12" t="s">
        <v>270</v>
      </c>
      <c r="N63" s="15"/>
      <c r="O63" s="15"/>
      <c r="P63" s="15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12">
        <v>63</v>
      </c>
      <c r="K64" s="12" t="s">
        <v>315</v>
      </c>
      <c r="L64" s="12" t="s">
        <v>270</v>
      </c>
      <c r="N64" s="15"/>
      <c r="O64" s="15"/>
      <c r="P64" s="15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13">
        <v>64</v>
      </c>
      <c r="K65" s="13" t="s">
        <v>164</v>
      </c>
      <c r="L65" s="13" t="s">
        <v>163</v>
      </c>
      <c r="N65" s="15"/>
      <c r="O65" s="15"/>
      <c r="P65" s="15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13">
        <v>65</v>
      </c>
      <c r="K66" s="13" t="s">
        <v>164</v>
      </c>
      <c r="L66" s="13" t="s">
        <v>163</v>
      </c>
      <c r="N66" s="15"/>
      <c r="O66" s="15"/>
      <c r="P66" s="15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82" si="1">((B67&amp;" "&amp;C67)&amp;" "&amp;D67)&amp;" "&amp;E67</f>
        <v>9 AVENUE A MOUNTKISCO NY 10549</v>
      </c>
      <c r="J67" s="13">
        <v>66</v>
      </c>
      <c r="K67" s="13" t="s">
        <v>165</v>
      </c>
      <c r="L67" s="13" t="s">
        <v>163</v>
      </c>
      <c r="N67" s="15"/>
      <c r="O67" s="15"/>
      <c r="P67" s="15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13">
        <v>67</v>
      </c>
      <c r="K68" s="13" t="s">
        <v>166</v>
      </c>
      <c r="L68" s="13" t="s">
        <v>163</v>
      </c>
      <c r="N68" s="15"/>
      <c r="O68" s="15"/>
      <c r="P68" s="15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13">
        <v>68</v>
      </c>
      <c r="K69" s="13" t="s">
        <v>167</v>
      </c>
      <c r="L69" s="13" t="s">
        <v>163</v>
      </c>
      <c r="N69" s="15"/>
      <c r="O69" s="15"/>
      <c r="P69" s="15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13">
        <v>69</v>
      </c>
      <c r="K70" s="13" t="s">
        <v>168</v>
      </c>
      <c r="L70" s="13" t="s">
        <v>163</v>
      </c>
      <c r="N70" s="15"/>
      <c r="O70" s="15"/>
      <c r="P70" s="15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13">
        <v>70</v>
      </c>
      <c r="K71" s="13" t="s">
        <v>169</v>
      </c>
      <c r="L71" s="13" t="s">
        <v>163</v>
      </c>
      <c r="N71" s="15"/>
      <c r="O71" s="15"/>
      <c r="P71" s="15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13">
        <v>71</v>
      </c>
      <c r="K72" s="13" t="s">
        <v>170</v>
      </c>
      <c r="L72" s="13" t="s">
        <v>163</v>
      </c>
      <c r="N72" s="15"/>
      <c r="O72" s="15"/>
      <c r="P72" s="15"/>
    </row>
    <row r="73" spans="1:16" x14ac:dyDescent="0.25">
      <c r="A73">
        <v>72</v>
      </c>
      <c r="B73" t="s">
        <v>387</v>
      </c>
      <c r="C73" t="s">
        <v>39</v>
      </c>
      <c r="D73" t="s">
        <v>18</v>
      </c>
      <c r="E73">
        <v>10549</v>
      </c>
      <c r="F73">
        <v>4656456456</v>
      </c>
      <c r="G73" t="str">
        <f t="shared" si="1"/>
        <v>77 GUARD HILL RD BEDFORD CORNERS NY 10549</v>
      </c>
      <c r="J73" s="13">
        <v>72</v>
      </c>
      <c r="K73" s="13" t="s">
        <v>171</v>
      </c>
      <c r="L73" s="13" t="s">
        <v>163</v>
      </c>
      <c r="N73" s="15"/>
      <c r="O73" s="15"/>
      <c r="P73" s="15"/>
    </row>
    <row r="74" spans="1:16" x14ac:dyDescent="0.25">
      <c r="A74">
        <v>73</v>
      </c>
      <c r="B74" t="s">
        <v>388</v>
      </c>
      <c r="C74" t="s">
        <v>28</v>
      </c>
      <c r="D74" t="s">
        <v>18</v>
      </c>
      <c r="E74">
        <v>10549</v>
      </c>
      <c r="F74">
        <v>4645644546</v>
      </c>
      <c r="G74" t="str">
        <f t="shared" si="1"/>
        <v>65 GROVE ST MOUNTKISCO NY 10549</v>
      </c>
      <c r="J74" s="13">
        <v>73</v>
      </c>
      <c r="K74" s="13" t="s">
        <v>172</v>
      </c>
      <c r="L74" s="13" t="s">
        <v>163</v>
      </c>
      <c r="N74" s="15"/>
      <c r="O74" s="15"/>
      <c r="P74" s="15"/>
    </row>
    <row r="75" spans="1:16" x14ac:dyDescent="0.25">
      <c r="A75">
        <v>74</v>
      </c>
      <c r="B75" t="s">
        <v>389</v>
      </c>
      <c r="C75" t="s">
        <v>37</v>
      </c>
      <c r="D75" t="s">
        <v>18</v>
      </c>
      <c r="E75">
        <v>10576</v>
      </c>
      <c r="F75">
        <v>5465465460</v>
      </c>
      <c r="G75" t="str">
        <f t="shared" si="1"/>
        <v>30 HONEY RD POUND ROAD NY 10576</v>
      </c>
      <c r="J75" s="13">
        <v>74</v>
      </c>
      <c r="K75" s="13" t="s">
        <v>173</v>
      </c>
      <c r="L75" s="13" t="s">
        <v>163</v>
      </c>
      <c r="N75" s="15"/>
      <c r="O75" s="15"/>
      <c r="P75" s="15"/>
    </row>
    <row r="76" spans="1:16" x14ac:dyDescent="0.25">
      <c r="A76">
        <v>75</v>
      </c>
      <c r="B76" t="s">
        <v>390</v>
      </c>
      <c r="C76" t="s">
        <v>50</v>
      </c>
      <c r="D76" t="s">
        <v>18</v>
      </c>
      <c r="E76">
        <v>10507</v>
      </c>
      <c r="F76">
        <v>5465465465</v>
      </c>
      <c r="G76" t="str">
        <f t="shared" si="1"/>
        <v>200 BARBIT RD BEDFORD HILLS NY 10507</v>
      </c>
      <c r="J76" s="13">
        <v>75</v>
      </c>
      <c r="K76" s="13" t="s">
        <v>174</v>
      </c>
      <c r="L76" s="13" t="s">
        <v>163</v>
      </c>
      <c r="N76" s="15"/>
      <c r="O76" s="15"/>
      <c r="P76" s="15"/>
    </row>
    <row r="77" spans="1:16" x14ac:dyDescent="0.25">
      <c r="A77">
        <v>76</v>
      </c>
      <c r="B77" t="s">
        <v>391</v>
      </c>
      <c r="C77" t="s">
        <v>64</v>
      </c>
      <c r="D77" t="s">
        <v>18</v>
      </c>
      <c r="E77">
        <v>10514</v>
      </c>
      <c r="F77">
        <v>4154545420</v>
      </c>
      <c r="G77" t="str">
        <f t="shared" si="1"/>
        <v>260 PINES LN CHAPQUA NY 10514</v>
      </c>
      <c r="J77" s="13">
        <v>76</v>
      </c>
      <c r="K77" s="13" t="s">
        <v>175</v>
      </c>
      <c r="L77" s="13" t="s">
        <v>163</v>
      </c>
      <c r="N77" s="15"/>
      <c r="O77" s="15"/>
      <c r="P77" s="15"/>
    </row>
    <row r="78" spans="1:16" x14ac:dyDescent="0.25">
      <c r="A78">
        <v>77</v>
      </c>
      <c r="B78" t="s">
        <v>392</v>
      </c>
      <c r="C78" t="s">
        <v>50</v>
      </c>
      <c r="D78" t="s">
        <v>18</v>
      </c>
      <c r="E78">
        <v>10507</v>
      </c>
      <c r="G78" t="str">
        <f t="shared" si="1"/>
        <v>126 ROME AVE BEDFORD HILLS NY 10507</v>
      </c>
      <c r="J78" s="13">
        <v>77</v>
      </c>
      <c r="K78" s="13" t="s">
        <v>176</v>
      </c>
      <c r="L78" s="13" t="s">
        <v>163</v>
      </c>
      <c r="N78" s="15"/>
      <c r="O78" s="15"/>
      <c r="P78" s="15"/>
    </row>
    <row r="79" spans="1:16" x14ac:dyDescent="0.25">
      <c r="A79">
        <v>78</v>
      </c>
      <c r="B79" t="s">
        <v>393</v>
      </c>
      <c r="C79" t="s">
        <v>50</v>
      </c>
      <c r="D79" t="s">
        <v>18</v>
      </c>
      <c r="E79">
        <v>10549</v>
      </c>
      <c r="G79" t="str">
        <f t="shared" si="1"/>
        <v>70 MILAN AVE BEDFORD HILLS NY 10549</v>
      </c>
      <c r="J79" s="13">
        <v>78</v>
      </c>
      <c r="K79" s="13" t="s">
        <v>177</v>
      </c>
      <c r="L79" s="13" t="s">
        <v>163</v>
      </c>
      <c r="N79" s="15"/>
      <c r="O79" s="15"/>
      <c r="P79" s="15"/>
    </row>
    <row r="80" spans="1:16" x14ac:dyDescent="0.25">
      <c r="A80">
        <v>79</v>
      </c>
      <c r="B80" t="s">
        <v>394</v>
      </c>
      <c r="C80" t="s">
        <v>28</v>
      </c>
      <c r="D80" t="s">
        <v>18</v>
      </c>
      <c r="E80">
        <v>10549</v>
      </c>
      <c r="G80" t="str">
        <f t="shared" si="1"/>
        <v>40 DIPLOMAT DR MOUNTKISCO NY 10549</v>
      </c>
      <c r="J80" s="13">
        <v>79</v>
      </c>
      <c r="K80" s="13" t="s">
        <v>178</v>
      </c>
      <c r="L80" s="13" t="s">
        <v>163</v>
      </c>
      <c r="N80" s="15"/>
      <c r="O80" s="15"/>
      <c r="P80" s="15"/>
    </row>
    <row r="81" spans="1:16" x14ac:dyDescent="0.25">
      <c r="A81">
        <v>80</v>
      </c>
      <c r="B81" t="s">
        <v>395</v>
      </c>
      <c r="C81" t="s">
        <v>22</v>
      </c>
      <c r="D81" t="s">
        <v>18</v>
      </c>
      <c r="E81">
        <v>10080</v>
      </c>
      <c r="G81" t="str">
        <f t="shared" si="1"/>
        <v>311 MAPPLE ST NEW YORK HILLS NY 10080</v>
      </c>
      <c r="J81" s="11">
        <v>80</v>
      </c>
      <c r="K81" s="11" t="s">
        <v>179</v>
      </c>
      <c r="L81" s="11" t="s">
        <v>113</v>
      </c>
      <c r="N81" s="15"/>
      <c r="O81" s="15"/>
      <c r="P81" s="15"/>
    </row>
    <row r="82" spans="1:16" x14ac:dyDescent="0.25">
      <c r="A82">
        <v>81</v>
      </c>
      <c r="B82" t="s">
        <v>396</v>
      </c>
      <c r="C82" t="s">
        <v>26</v>
      </c>
      <c r="D82" t="s">
        <v>18</v>
      </c>
      <c r="E82">
        <v>10549</v>
      </c>
      <c r="G82" t="str">
        <f t="shared" si="1"/>
        <v>35 MAIN ST BREWSTER NY 10549</v>
      </c>
      <c r="J82" s="11">
        <v>81</v>
      </c>
      <c r="K82" s="11" t="s">
        <v>180</v>
      </c>
      <c r="L82" s="11" t="s">
        <v>113</v>
      </c>
      <c r="N82" s="15"/>
      <c r="O82" s="15"/>
      <c r="P82" s="15"/>
    </row>
    <row r="83" spans="1:16" x14ac:dyDescent="0.25">
      <c r="J83" s="11">
        <v>82</v>
      </c>
      <c r="K83" s="11" t="s">
        <v>181</v>
      </c>
      <c r="L83" s="11" t="s">
        <v>113</v>
      </c>
      <c r="N83" s="15"/>
      <c r="O83" s="15"/>
      <c r="P83" s="15"/>
    </row>
    <row r="84" spans="1:16" x14ac:dyDescent="0.25">
      <c r="J84" s="11">
        <v>83</v>
      </c>
      <c r="K84" s="11" t="s">
        <v>182</v>
      </c>
      <c r="L84" s="11" t="s">
        <v>113</v>
      </c>
      <c r="N84" s="15"/>
      <c r="O84" s="15"/>
      <c r="P84" s="15"/>
    </row>
    <row r="85" spans="1:16" x14ac:dyDescent="0.25">
      <c r="J85" s="11">
        <v>84</v>
      </c>
      <c r="K85" s="11" t="s">
        <v>183</v>
      </c>
      <c r="L85" s="11" t="s">
        <v>113</v>
      </c>
      <c r="N85" s="15"/>
      <c r="O85" s="15"/>
      <c r="P85" s="15"/>
    </row>
    <row r="86" spans="1:16" x14ac:dyDescent="0.25">
      <c r="J86" s="11">
        <v>85</v>
      </c>
      <c r="K86" s="11" t="s">
        <v>184</v>
      </c>
      <c r="L86" s="11" t="s">
        <v>113</v>
      </c>
      <c r="N86" s="15"/>
      <c r="O86" s="15"/>
      <c r="P86" s="15"/>
    </row>
    <row r="87" spans="1:16" x14ac:dyDescent="0.25">
      <c r="J87" s="11">
        <v>86</v>
      </c>
      <c r="K87" s="11" t="s">
        <v>185</v>
      </c>
      <c r="L87" s="11" t="s">
        <v>113</v>
      </c>
      <c r="N87" s="15"/>
      <c r="O87" s="15"/>
      <c r="P87" s="15"/>
    </row>
    <row r="88" spans="1:16" x14ac:dyDescent="0.25">
      <c r="J88" s="11">
        <v>87</v>
      </c>
      <c r="K88" s="11" t="s">
        <v>186</v>
      </c>
      <c r="L88" s="11" t="s">
        <v>113</v>
      </c>
      <c r="N88" s="15"/>
      <c r="O88" s="15"/>
      <c r="P88" s="15"/>
    </row>
    <row r="89" spans="1:16" x14ac:dyDescent="0.25">
      <c r="J89" s="11">
        <v>88</v>
      </c>
      <c r="K89" s="11" t="s">
        <v>187</v>
      </c>
      <c r="L89" s="11" t="s">
        <v>113</v>
      </c>
      <c r="N89" s="15"/>
      <c r="O89" s="15"/>
      <c r="P89" s="15"/>
    </row>
    <row r="90" spans="1:16" x14ac:dyDescent="0.25">
      <c r="J90" s="11">
        <v>89</v>
      </c>
      <c r="K90" s="11" t="s">
        <v>188</v>
      </c>
      <c r="L90" s="11" t="s">
        <v>113</v>
      </c>
      <c r="N90" s="15"/>
      <c r="O90" s="15"/>
      <c r="P90" s="15"/>
    </row>
    <row r="91" spans="1:16" x14ac:dyDescent="0.25">
      <c r="J91" s="11">
        <v>90</v>
      </c>
      <c r="K91" s="11" t="s">
        <v>189</v>
      </c>
      <c r="L91" s="11" t="s">
        <v>113</v>
      </c>
      <c r="N91" s="15"/>
      <c r="O91" s="15"/>
      <c r="P91" s="15"/>
    </row>
    <row r="92" spans="1:16" x14ac:dyDescent="0.25">
      <c r="J92" s="11">
        <v>91</v>
      </c>
      <c r="K92" s="11" t="s">
        <v>190</v>
      </c>
      <c r="L92" s="11" t="s">
        <v>113</v>
      </c>
      <c r="N92" s="15"/>
      <c r="O92" s="15"/>
      <c r="P92" s="15"/>
    </row>
    <row r="93" spans="1:16" x14ac:dyDescent="0.25">
      <c r="J93" s="11">
        <v>92</v>
      </c>
      <c r="K93" s="11" t="s">
        <v>191</v>
      </c>
      <c r="L93" s="11" t="s">
        <v>113</v>
      </c>
      <c r="N93" s="15"/>
      <c r="O93" s="15"/>
      <c r="P93" s="15"/>
    </row>
    <row r="94" spans="1:16" x14ac:dyDescent="0.25">
      <c r="J94" s="11">
        <v>93</v>
      </c>
      <c r="K94" s="11" t="s">
        <v>192</v>
      </c>
      <c r="L94" s="11" t="s">
        <v>113</v>
      </c>
      <c r="N94" s="15"/>
      <c r="O94" s="15"/>
      <c r="P94" s="15"/>
    </row>
    <row r="95" spans="1:16" x14ac:dyDescent="0.25">
      <c r="J95" s="11">
        <v>94</v>
      </c>
      <c r="K95" s="11" t="s">
        <v>193</v>
      </c>
      <c r="L95" s="11" t="s">
        <v>113</v>
      </c>
      <c r="N95" s="15"/>
      <c r="O95" s="15"/>
      <c r="P95" s="15"/>
    </row>
    <row r="96" spans="1:16" x14ac:dyDescent="0.25">
      <c r="J96" s="16">
        <v>95</v>
      </c>
      <c r="K96" s="16" t="s">
        <v>194</v>
      </c>
      <c r="L96" s="16" t="s">
        <v>271</v>
      </c>
      <c r="N96" s="15"/>
      <c r="O96" s="15"/>
      <c r="P96" s="15"/>
    </row>
    <row r="97" spans="10:16" x14ac:dyDescent="0.25">
      <c r="J97" s="16">
        <v>96</v>
      </c>
      <c r="K97" s="16" t="s">
        <v>195</v>
      </c>
      <c r="L97" s="16" t="s">
        <v>271</v>
      </c>
      <c r="N97" s="15"/>
      <c r="O97" s="15"/>
      <c r="P97" s="15"/>
    </row>
    <row r="98" spans="10:16" x14ac:dyDescent="0.25">
      <c r="J98" s="16">
        <v>97</v>
      </c>
      <c r="K98" s="16" t="s">
        <v>196</v>
      </c>
      <c r="L98" s="16" t="s">
        <v>271</v>
      </c>
      <c r="N98" s="15"/>
      <c r="O98" s="15"/>
      <c r="P98" s="15"/>
    </row>
    <row r="99" spans="10:16" x14ac:dyDescent="0.25">
      <c r="J99" s="16">
        <v>98</v>
      </c>
      <c r="K99" s="16" t="s">
        <v>197</v>
      </c>
      <c r="L99" s="16" t="s">
        <v>271</v>
      </c>
      <c r="N99" s="15"/>
      <c r="O99" s="15"/>
      <c r="P99" s="15"/>
    </row>
    <row r="100" spans="10:16" x14ac:dyDescent="0.25">
      <c r="J100" s="16">
        <v>99</v>
      </c>
      <c r="K100" s="16" t="s">
        <v>198</v>
      </c>
      <c r="L100" s="16" t="s">
        <v>271</v>
      </c>
      <c r="N100" s="15"/>
      <c r="O100" s="15"/>
      <c r="P100" s="15"/>
    </row>
    <row r="101" spans="10:16" x14ac:dyDescent="0.25">
      <c r="J101" s="16">
        <v>100</v>
      </c>
      <c r="K101" s="16" t="s">
        <v>199</v>
      </c>
      <c r="L101" s="16" t="s">
        <v>271</v>
      </c>
      <c r="N101" s="15"/>
      <c r="O101" s="15"/>
      <c r="P101" s="15"/>
    </row>
    <row r="102" spans="10:16" x14ac:dyDescent="0.25">
      <c r="J102" s="16">
        <v>101</v>
      </c>
      <c r="K102" s="16" t="s">
        <v>200</v>
      </c>
      <c r="L102" s="16" t="s">
        <v>271</v>
      </c>
      <c r="N102" s="15"/>
      <c r="O102" s="15"/>
      <c r="P102" s="15"/>
    </row>
    <row r="103" spans="10:16" x14ac:dyDescent="0.25">
      <c r="J103" s="16">
        <v>102</v>
      </c>
      <c r="K103" s="16" t="s">
        <v>201</v>
      </c>
      <c r="L103" s="16" t="s">
        <v>271</v>
      </c>
      <c r="N103" s="15"/>
      <c r="O103" s="15"/>
      <c r="P103" s="15"/>
    </row>
    <row r="104" spans="10:16" x14ac:dyDescent="0.25">
      <c r="J104" s="16">
        <v>103</v>
      </c>
      <c r="K104" s="16" t="s">
        <v>202</v>
      </c>
      <c r="L104" s="16" t="s">
        <v>271</v>
      </c>
      <c r="N104" s="15"/>
      <c r="O104" s="15"/>
      <c r="P104" s="15"/>
    </row>
    <row r="105" spans="10:16" x14ac:dyDescent="0.25">
      <c r="J105" s="16">
        <v>104</v>
      </c>
      <c r="K105" s="16" t="s">
        <v>203</v>
      </c>
      <c r="L105" s="16" t="s">
        <v>271</v>
      </c>
      <c r="N105" s="15"/>
      <c r="O105" s="15"/>
      <c r="P105" s="15"/>
    </row>
    <row r="106" spans="10:16" x14ac:dyDescent="0.25">
      <c r="J106" s="16">
        <v>105</v>
      </c>
      <c r="K106" s="16" t="s">
        <v>204</v>
      </c>
      <c r="L106" s="16" t="s">
        <v>271</v>
      </c>
      <c r="N106" s="15"/>
      <c r="O106" s="15"/>
      <c r="P106" s="15"/>
    </row>
    <row r="107" spans="10:16" x14ac:dyDescent="0.25">
      <c r="J107" s="16">
        <v>106</v>
      </c>
      <c r="K107" s="16" t="s">
        <v>205</v>
      </c>
      <c r="L107" s="16" t="s">
        <v>271</v>
      </c>
      <c r="N107" s="15"/>
      <c r="O107" s="15"/>
      <c r="P107" s="15"/>
    </row>
    <row r="108" spans="10:16" x14ac:dyDescent="0.25">
      <c r="J108" s="16">
        <v>107</v>
      </c>
      <c r="K108" s="16" t="s">
        <v>206</v>
      </c>
      <c r="L108" s="16" t="s">
        <v>271</v>
      </c>
      <c r="N108" s="15"/>
      <c r="O108" s="15"/>
      <c r="P108" s="15"/>
    </row>
    <row r="109" spans="10:16" x14ac:dyDescent="0.25">
      <c r="J109" s="16">
        <v>108</v>
      </c>
      <c r="K109" s="16" t="s">
        <v>207</v>
      </c>
      <c r="L109" s="16" t="s">
        <v>271</v>
      </c>
      <c r="N109" s="15"/>
      <c r="O109" s="15"/>
      <c r="P109" s="15"/>
    </row>
    <row r="110" spans="10:16" x14ac:dyDescent="0.25">
      <c r="J110" s="16">
        <v>109</v>
      </c>
      <c r="K110" s="16" t="s">
        <v>208</v>
      </c>
      <c r="L110" s="16" t="s">
        <v>271</v>
      </c>
      <c r="N110" s="15"/>
      <c r="O110" s="15"/>
      <c r="P110" s="15"/>
    </row>
    <row r="111" spans="10:16" x14ac:dyDescent="0.25">
      <c r="J111" s="16">
        <v>110</v>
      </c>
      <c r="K111" s="16" t="s">
        <v>209</v>
      </c>
      <c r="L111" s="16" t="s">
        <v>271</v>
      </c>
      <c r="N111" s="15"/>
      <c r="O111" s="15"/>
      <c r="P111" s="15"/>
    </row>
    <row r="112" spans="10:16" x14ac:dyDescent="0.25">
      <c r="J112" s="16">
        <v>111</v>
      </c>
      <c r="K112" s="16" t="s">
        <v>210</v>
      </c>
      <c r="L112" s="16" t="s">
        <v>271</v>
      </c>
      <c r="N112" s="15"/>
      <c r="O112" s="15"/>
      <c r="P112" s="15"/>
    </row>
    <row r="113" spans="10:16" x14ac:dyDescent="0.25">
      <c r="J113" s="16">
        <v>112</v>
      </c>
      <c r="K113" s="16" t="s">
        <v>211</v>
      </c>
      <c r="L113" s="16" t="s">
        <v>271</v>
      </c>
      <c r="N113" s="15"/>
      <c r="O113" s="15"/>
      <c r="P113" s="15"/>
    </row>
    <row r="114" spans="10:16" x14ac:dyDescent="0.25">
      <c r="J114" s="16">
        <v>113</v>
      </c>
      <c r="K114" s="16" t="s">
        <v>297</v>
      </c>
      <c r="L114" s="16" t="s">
        <v>271</v>
      </c>
      <c r="N114" s="15"/>
      <c r="O114" s="15"/>
      <c r="P114" s="15"/>
    </row>
    <row r="115" spans="10:16" x14ac:dyDescent="0.25">
      <c r="J115" s="16">
        <v>114</v>
      </c>
      <c r="K115" s="16" t="s">
        <v>298</v>
      </c>
      <c r="L115" s="16" t="s">
        <v>271</v>
      </c>
      <c r="N115" s="15"/>
      <c r="O115" s="15"/>
      <c r="P115" s="15"/>
    </row>
    <row r="116" spans="10:16" x14ac:dyDescent="0.25">
      <c r="J116" s="16">
        <v>115</v>
      </c>
      <c r="K116" s="16" t="s">
        <v>299</v>
      </c>
      <c r="L116" s="16" t="s">
        <v>271</v>
      </c>
      <c r="N116" s="15"/>
      <c r="O116" s="15"/>
      <c r="P116" s="15"/>
    </row>
    <row r="117" spans="10:16" x14ac:dyDescent="0.25">
      <c r="J117" s="16">
        <v>116</v>
      </c>
      <c r="K117" s="16" t="s">
        <v>300</v>
      </c>
      <c r="L117" s="16" t="s">
        <v>271</v>
      </c>
      <c r="N117" s="15"/>
      <c r="O117" s="15"/>
      <c r="P117" s="15"/>
    </row>
    <row r="118" spans="10:16" x14ac:dyDescent="0.25">
      <c r="J118" s="16">
        <v>117</v>
      </c>
      <c r="K118" s="16" t="s">
        <v>316</v>
      </c>
      <c r="L118" s="16" t="s">
        <v>271</v>
      </c>
      <c r="N118" s="15"/>
      <c r="O118" s="15"/>
      <c r="P118" s="15"/>
    </row>
    <row r="119" spans="10:16" x14ac:dyDescent="0.25">
      <c r="J119" s="15">
        <v>118</v>
      </c>
      <c r="K119" s="15" t="s">
        <v>212</v>
      </c>
      <c r="L119" s="15" t="s">
        <v>272</v>
      </c>
      <c r="N119" s="15"/>
      <c r="O119" s="15"/>
      <c r="P119" s="15"/>
    </row>
    <row r="120" spans="10:16" x14ac:dyDescent="0.25">
      <c r="J120" s="15">
        <v>119</v>
      </c>
      <c r="K120" s="15" t="s">
        <v>213</v>
      </c>
      <c r="L120" s="15" t="s">
        <v>272</v>
      </c>
      <c r="N120" s="15"/>
      <c r="O120" s="15"/>
      <c r="P120" s="15"/>
    </row>
    <row r="121" spans="10:16" x14ac:dyDescent="0.25">
      <c r="J121" s="15">
        <v>120</v>
      </c>
      <c r="K121" s="15" t="s">
        <v>214</v>
      </c>
      <c r="L121" s="15" t="s">
        <v>272</v>
      </c>
      <c r="N121" s="15"/>
      <c r="O121" s="15"/>
      <c r="P121" s="15"/>
    </row>
    <row r="122" spans="10:16" x14ac:dyDescent="0.25">
      <c r="J122" s="15">
        <v>121</v>
      </c>
      <c r="K122" s="15" t="s">
        <v>215</v>
      </c>
      <c r="L122" s="15" t="s">
        <v>272</v>
      </c>
      <c r="N122" s="15"/>
      <c r="O122" s="15"/>
      <c r="P122" s="15"/>
    </row>
    <row r="123" spans="10:16" x14ac:dyDescent="0.25">
      <c r="J123" s="15">
        <v>122</v>
      </c>
      <c r="K123" s="15" t="s">
        <v>216</v>
      </c>
      <c r="L123" s="15" t="s">
        <v>272</v>
      </c>
      <c r="N123" s="15"/>
      <c r="O123" s="15"/>
      <c r="P123" s="15"/>
    </row>
    <row r="124" spans="10:16" x14ac:dyDescent="0.25">
      <c r="J124" s="15">
        <v>123</v>
      </c>
      <c r="K124" s="15" t="s">
        <v>217</v>
      </c>
      <c r="L124" s="15" t="s">
        <v>272</v>
      </c>
      <c r="N124" s="15"/>
      <c r="O124" s="15"/>
      <c r="P124" s="15"/>
    </row>
    <row r="125" spans="10:16" x14ac:dyDescent="0.25">
      <c r="J125" s="15">
        <v>124</v>
      </c>
      <c r="K125" s="15" t="s">
        <v>218</v>
      </c>
      <c r="L125" s="15" t="s">
        <v>272</v>
      </c>
      <c r="N125" s="15"/>
      <c r="O125" s="15"/>
      <c r="P125" s="15"/>
    </row>
    <row r="126" spans="10:16" x14ac:dyDescent="0.25">
      <c r="J126" s="15">
        <v>125</v>
      </c>
      <c r="K126" s="15" t="s">
        <v>219</v>
      </c>
      <c r="L126" s="15" t="s">
        <v>272</v>
      </c>
      <c r="N126" s="15"/>
      <c r="O126" s="15"/>
      <c r="P126" s="15"/>
    </row>
    <row r="127" spans="10:16" x14ac:dyDescent="0.25">
      <c r="J127" s="15">
        <v>126</v>
      </c>
      <c r="K127" s="15" t="s">
        <v>220</v>
      </c>
      <c r="L127" s="15" t="s">
        <v>272</v>
      </c>
      <c r="N127" s="15"/>
      <c r="O127" s="15"/>
      <c r="P127" s="15"/>
    </row>
    <row r="128" spans="10:16" x14ac:dyDescent="0.25">
      <c r="J128" s="15">
        <v>127</v>
      </c>
      <c r="K128" s="15" t="s">
        <v>221</v>
      </c>
      <c r="L128" s="15" t="s">
        <v>272</v>
      </c>
      <c r="N128" s="15"/>
      <c r="O128" s="15"/>
      <c r="P128" s="15"/>
    </row>
    <row r="129" spans="10:16" x14ac:dyDescent="0.25">
      <c r="J129" s="15">
        <v>128</v>
      </c>
      <c r="K129" s="15" t="s">
        <v>222</v>
      </c>
      <c r="L129" s="15" t="s">
        <v>272</v>
      </c>
      <c r="N129" s="15"/>
      <c r="O129" s="15"/>
      <c r="P129" s="15"/>
    </row>
    <row r="130" spans="10:16" x14ac:dyDescent="0.25">
      <c r="J130" s="15">
        <v>129</v>
      </c>
      <c r="K130" s="15" t="s">
        <v>223</v>
      </c>
      <c r="L130" s="15" t="s">
        <v>272</v>
      </c>
      <c r="N130" s="15"/>
      <c r="O130" s="15"/>
      <c r="P130" s="15"/>
    </row>
    <row r="131" spans="10:16" x14ac:dyDescent="0.25">
      <c r="J131" s="15">
        <v>130</v>
      </c>
      <c r="K131" s="15" t="s">
        <v>224</v>
      </c>
      <c r="L131" s="15" t="s">
        <v>272</v>
      </c>
      <c r="N131" s="15"/>
      <c r="O131" s="15"/>
      <c r="P131" s="15"/>
    </row>
    <row r="132" spans="10:16" x14ac:dyDescent="0.25">
      <c r="J132" s="15">
        <v>131</v>
      </c>
      <c r="K132" s="15" t="s">
        <v>225</v>
      </c>
      <c r="L132" s="15" t="s">
        <v>272</v>
      </c>
      <c r="N132" s="15"/>
      <c r="O132" s="15"/>
      <c r="P132" s="15"/>
    </row>
    <row r="133" spans="10:16" x14ac:dyDescent="0.25">
      <c r="J133" s="15">
        <v>132</v>
      </c>
      <c r="K133" s="15" t="s">
        <v>226</v>
      </c>
      <c r="L133" s="15" t="s">
        <v>272</v>
      </c>
      <c r="N133" s="15"/>
      <c r="O133" s="15"/>
      <c r="P133" s="15"/>
    </row>
    <row r="134" spans="10:16" x14ac:dyDescent="0.25">
      <c r="J134" s="15">
        <v>133</v>
      </c>
      <c r="K134" s="15" t="s">
        <v>227</v>
      </c>
      <c r="L134" s="15" t="s">
        <v>272</v>
      </c>
      <c r="N134" s="15"/>
      <c r="O134" s="15"/>
      <c r="P134" s="15"/>
    </row>
    <row r="135" spans="10:16" x14ac:dyDescent="0.25">
      <c r="J135" s="15">
        <v>134</v>
      </c>
      <c r="K135" s="15" t="s">
        <v>228</v>
      </c>
      <c r="L135" s="15" t="s">
        <v>272</v>
      </c>
      <c r="N135" s="15"/>
      <c r="O135" s="15"/>
      <c r="P135" s="15"/>
    </row>
    <row r="136" spans="10:16" x14ac:dyDescent="0.25">
      <c r="J136" s="15">
        <v>135</v>
      </c>
      <c r="K136" s="15" t="s">
        <v>229</v>
      </c>
      <c r="L136" s="15" t="s">
        <v>272</v>
      </c>
      <c r="N136" s="15"/>
      <c r="O136" s="15"/>
      <c r="P136" s="15"/>
    </row>
    <row r="137" spans="10:16" x14ac:dyDescent="0.25">
      <c r="J137" s="15">
        <v>136</v>
      </c>
      <c r="K137" s="15" t="s">
        <v>230</v>
      </c>
      <c r="L137" s="15" t="s">
        <v>272</v>
      </c>
      <c r="N137" s="15"/>
      <c r="O137" s="15"/>
      <c r="P137" s="15"/>
    </row>
    <row r="138" spans="10:16" x14ac:dyDescent="0.25">
      <c r="J138" s="17">
        <v>137</v>
      </c>
      <c r="K138" s="17" t="s">
        <v>231</v>
      </c>
      <c r="L138" s="17" t="s">
        <v>273</v>
      </c>
      <c r="N138" s="15"/>
      <c r="O138" s="15"/>
      <c r="P138" s="15"/>
    </row>
    <row r="139" spans="10:16" x14ac:dyDescent="0.25">
      <c r="J139" s="17">
        <v>138</v>
      </c>
      <c r="K139" s="17" t="s">
        <v>232</v>
      </c>
      <c r="L139" s="17" t="s">
        <v>273</v>
      </c>
      <c r="N139" s="15"/>
      <c r="O139" s="15"/>
      <c r="P139" s="15"/>
    </row>
    <row r="140" spans="10:16" x14ac:dyDescent="0.25">
      <c r="J140" s="17">
        <v>139</v>
      </c>
      <c r="K140" s="17" t="s">
        <v>233</v>
      </c>
      <c r="L140" s="17" t="s">
        <v>273</v>
      </c>
      <c r="N140" s="15"/>
      <c r="O140" s="15"/>
      <c r="P140" s="15"/>
    </row>
    <row r="141" spans="10:16" x14ac:dyDescent="0.25">
      <c r="J141" s="17">
        <v>140</v>
      </c>
      <c r="K141" s="17" t="s">
        <v>234</v>
      </c>
      <c r="L141" s="17" t="s">
        <v>273</v>
      </c>
      <c r="N141" s="15"/>
      <c r="O141" s="15"/>
      <c r="P141" s="15"/>
    </row>
    <row r="142" spans="10:16" x14ac:dyDescent="0.25">
      <c r="J142" s="17">
        <v>141</v>
      </c>
      <c r="K142" s="17" t="s">
        <v>235</v>
      </c>
      <c r="L142" s="17" t="s">
        <v>273</v>
      </c>
      <c r="N142" s="15"/>
      <c r="O142" s="15"/>
      <c r="P142" s="15"/>
    </row>
    <row r="143" spans="10:16" x14ac:dyDescent="0.25">
      <c r="J143" s="17">
        <v>142</v>
      </c>
      <c r="K143" s="17" t="s">
        <v>245</v>
      </c>
      <c r="L143" s="17" t="s">
        <v>273</v>
      </c>
      <c r="N143" s="15"/>
      <c r="O143" s="15"/>
      <c r="P143" s="15"/>
    </row>
    <row r="144" spans="10:16" x14ac:dyDescent="0.25">
      <c r="J144" s="17">
        <v>143</v>
      </c>
      <c r="K144" s="17" t="s">
        <v>246</v>
      </c>
      <c r="L144" s="17" t="s">
        <v>273</v>
      </c>
      <c r="N144" s="15"/>
      <c r="O144" s="15"/>
      <c r="P144" s="15"/>
    </row>
    <row r="145" spans="10:16" x14ac:dyDescent="0.25">
      <c r="J145" s="17">
        <v>144</v>
      </c>
      <c r="K145" s="17" t="s">
        <v>236</v>
      </c>
      <c r="L145" s="17" t="s">
        <v>273</v>
      </c>
      <c r="N145" s="15"/>
      <c r="O145" s="15"/>
      <c r="P145" s="15"/>
    </row>
    <row r="146" spans="10:16" x14ac:dyDescent="0.25">
      <c r="J146" s="17">
        <v>145</v>
      </c>
      <c r="K146" s="17" t="s">
        <v>247</v>
      </c>
      <c r="L146" s="17" t="s">
        <v>273</v>
      </c>
      <c r="N146" s="15"/>
      <c r="O146" s="15"/>
      <c r="P146" s="15"/>
    </row>
    <row r="147" spans="10:16" x14ac:dyDescent="0.25">
      <c r="J147" s="17">
        <v>146</v>
      </c>
      <c r="K147" s="17" t="s">
        <v>237</v>
      </c>
      <c r="L147" s="17" t="s">
        <v>273</v>
      </c>
      <c r="N147" s="15"/>
      <c r="O147" s="15"/>
      <c r="P147" s="15"/>
    </row>
    <row r="148" spans="10:16" x14ac:dyDescent="0.25">
      <c r="J148" s="17">
        <v>147</v>
      </c>
      <c r="K148" s="17" t="s">
        <v>238</v>
      </c>
      <c r="L148" s="17" t="s">
        <v>273</v>
      </c>
      <c r="N148" s="15"/>
      <c r="O148" s="15"/>
      <c r="P148" s="15"/>
    </row>
    <row r="149" spans="10:16" x14ac:dyDescent="0.25">
      <c r="J149" s="17">
        <v>148</v>
      </c>
      <c r="K149" s="17" t="s">
        <v>239</v>
      </c>
      <c r="L149" s="17" t="s">
        <v>273</v>
      </c>
      <c r="N149" s="15"/>
      <c r="O149" s="15"/>
      <c r="P149" s="15"/>
    </row>
    <row r="150" spans="10:16" x14ac:dyDescent="0.25">
      <c r="J150" s="17">
        <v>149</v>
      </c>
      <c r="K150" s="17" t="s">
        <v>240</v>
      </c>
      <c r="L150" s="17" t="s">
        <v>273</v>
      </c>
      <c r="N150" s="15"/>
      <c r="O150" s="15"/>
      <c r="P150" s="15"/>
    </row>
    <row r="151" spans="10:16" x14ac:dyDescent="0.25">
      <c r="J151" s="17">
        <v>150</v>
      </c>
      <c r="K151" s="17" t="s">
        <v>241</v>
      </c>
      <c r="L151" s="17" t="s">
        <v>273</v>
      </c>
      <c r="N151" s="15"/>
      <c r="O151" s="15"/>
      <c r="P151" s="15"/>
    </row>
    <row r="152" spans="10:16" x14ac:dyDescent="0.25">
      <c r="J152" s="17">
        <v>151</v>
      </c>
      <c r="K152" s="17" t="s">
        <v>242</v>
      </c>
      <c r="L152" s="17" t="s">
        <v>273</v>
      </c>
      <c r="N152" s="15"/>
      <c r="O152" s="15"/>
      <c r="P152" s="15"/>
    </row>
    <row r="153" spans="10:16" x14ac:dyDescent="0.25">
      <c r="J153" s="17">
        <v>152</v>
      </c>
      <c r="K153" s="17" t="s">
        <v>243</v>
      </c>
      <c r="L153" s="17" t="s">
        <v>273</v>
      </c>
      <c r="N153" s="15"/>
      <c r="O153" s="15"/>
      <c r="P153" s="15"/>
    </row>
    <row r="154" spans="10:16" x14ac:dyDescent="0.25">
      <c r="J154" s="17">
        <v>153</v>
      </c>
      <c r="K154" s="17" t="s">
        <v>244</v>
      </c>
      <c r="L154" s="17" t="s">
        <v>273</v>
      </c>
      <c r="N154" s="15"/>
      <c r="O154" s="15"/>
      <c r="P154" s="15"/>
    </row>
    <row r="155" spans="10:16" x14ac:dyDescent="0.25">
      <c r="J155" s="18">
        <v>154</v>
      </c>
      <c r="K155" s="18" t="s">
        <v>248</v>
      </c>
      <c r="L155" s="18" t="s">
        <v>274</v>
      </c>
      <c r="N155" s="15"/>
      <c r="O155" s="15"/>
      <c r="P155" s="15"/>
    </row>
    <row r="156" spans="10:16" x14ac:dyDescent="0.25">
      <c r="J156" s="18">
        <v>155</v>
      </c>
      <c r="K156" s="18" t="s">
        <v>249</v>
      </c>
      <c r="L156" s="18" t="s">
        <v>274</v>
      </c>
      <c r="N156" s="15"/>
      <c r="O156" s="15"/>
      <c r="P156" s="15"/>
    </row>
    <row r="157" spans="10:16" x14ac:dyDescent="0.25">
      <c r="J157" s="18">
        <v>156</v>
      </c>
      <c r="K157" s="18" t="s">
        <v>250</v>
      </c>
      <c r="L157" s="18" t="s">
        <v>274</v>
      </c>
      <c r="N157" s="15"/>
      <c r="O157" s="15"/>
      <c r="P157" s="15"/>
    </row>
    <row r="158" spans="10:16" x14ac:dyDescent="0.25">
      <c r="J158" s="18">
        <v>157</v>
      </c>
      <c r="K158" s="18" t="s">
        <v>251</v>
      </c>
      <c r="L158" s="18" t="s">
        <v>274</v>
      </c>
      <c r="N158" s="15"/>
      <c r="O158" s="15"/>
      <c r="P158" s="15"/>
    </row>
    <row r="159" spans="10:16" x14ac:dyDescent="0.25">
      <c r="J159" s="18">
        <v>158</v>
      </c>
      <c r="K159" s="18" t="s">
        <v>252</v>
      </c>
      <c r="L159" s="18" t="s">
        <v>274</v>
      </c>
      <c r="N159" s="15"/>
      <c r="O159" s="15"/>
      <c r="P159" s="15"/>
    </row>
    <row r="160" spans="10:16" x14ac:dyDescent="0.25">
      <c r="J160" s="18">
        <v>159</v>
      </c>
      <c r="K160" s="18" t="s">
        <v>253</v>
      </c>
      <c r="L160" s="18" t="s">
        <v>274</v>
      </c>
      <c r="N160" s="15"/>
      <c r="O160" s="15"/>
      <c r="P160" s="15"/>
    </row>
    <row r="161" spans="10:16" x14ac:dyDescent="0.25">
      <c r="J161" s="18">
        <v>160</v>
      </c>
      <c r="K161" s="18" t="s">
        <v>254</v>
      </c>
      <c r="L161" s="18" t="s">
        <v>274</v>
      </c>
      <c r="N161" s="15"/>
      <c r="O161" s="15"/>
      <c r="P161" s="15"/>
    </row>
    <row r="162" spans="10:16" x14ac:dyDescent="0.25">
      <c r="J162" s="18">
        <v>161</v>
      </c>
      <c r="K162" s="18" t="s">
        <v>255</v>
      </c>
      <c r="L162" s="18" t="s">
        <v>274</v>
      </c>
      <c r="N162" s="15"/>
      <c r="O162" s="15"/>
      <c r="P162" s="15"/>
    </row>
    <row r="163" spans="10:16" x14ac:dyDescent="0.25">
      <c r="J163" s="18">
        <v>162</v>
      </c>
      <c r="K163" s="18" t="s">
        <v>256</v>
      </c>
      <c r="L163" s="18" t="s">
        <v>274</v>
      </c>
      <c r="N163" s="15"/>
      <c r="O163" s="15"/>
      <c r="P163" s="15"/>
    </row>
    <row r="164" spans="10:16" x14ac:dyDescent="0.25">
      <c r="J164" s="18">
        <v>163</v>
      </c>
      <c r="K164" s="18" t="s">
        <v>257</v>
      </c>
      <c r="L164" s="18" t="s">
        <v>274</v>
      </c>
      <c r="N164" s="15"/>
      <c r="O164" s="15"/>
      <c r="P164" s="15"/>
    </row>
    <row r="165" spans="10:16" x14ac:dyDescent="0.25">
      <c r="J165" s="18">
        <v>164</v>
      </c>
      <c r="K165" s="18" t="s">
        <v>258</v>
      </c>
      <c r="L165" s="18" t="s">
        <v>274</v>
      </c>
      <c r="N165" s="15"/>
      <c r="O165" s="15"/>
      <c r="P165" s="15"/>
    </row>
    <row r="166" spans="10:16" x14ac:dyDescent="0.25">
      <c r="J166" s="13">
        <v>165</v>
      </c>
      <c r="K166" s="13" t="s">
        <v>259</v>
      </c>
      <c r="L166" s="13" t="s">
        <v>275</v>
      </c>
      <c r="N166" s="15"/>
      <c r="O166" s="15"/>
      <c r="P166" s="15"/>
    </row>
    <row r="167" spans="10:16" x14ac:dyDescent="0.25">
      <c r="J167" s="13">
        <v>166</v>
      </c>
      <c r="K167" s="13" t="s">
        <v>260</v>
      </c>
      <c r="L167" s="13" t="s">
        <v>275</v>
      </c>
      <c r="N167" s="15"/>
      <c r="O167" s="15"/>
      <c r="P167" s="15"/>
    </row>
    <row r="168" spans="10:16" x14ac:dyDescent="0.25">
      <c r="J168" s="13">
        <v>167</v>
      </c>
      <c r="K168" s="13" t="s">
        <v>261</v>
      </c>
      <c r="L168" s="13" t="s">
        <v>275</v>
      </c>
      <c r="N168" s="15"/>
      <c r="O168" s="15"/>
      <c r="P168" s="15"/>
    </row>
    <row r="169" spans="10:16" x14ac:dyDescent="0.25">
      <c r="J169" s="13">
        <v>168</v>
      </c>
      <c r="K169" s="13" t="s">
        <v>262</v>
      </c>
      <c r="L169" s="13" t="s">
        <v>275</v>
      </c>
      <c r="N169" s="15"/>
      <c r="O169" s="15"/>
      <c r="P169" s="15"/>
    </row>
    <row r="170" spans="10:16" x14ac:dyDescent="0.25">
      <c r="J170" s="13">
        <v>169</v>
      </c>
      <c r="K170" s="13" t="s">
        <v>263</v>
      </c>
      <c r="L170" s="13" t="s">
        <v>275</v>
      </c>
      <c r="N170" s="15"/>
      <c r="O170" s="15"/>
      <c r="P170" s="15"/>
    </row>
    <row r="171" spans="10:16" x14ac:dyDescent="0.25">
      <c r="J171" s="13">
        <v>170</v>
      </c>
      <c r="K171" s="13" t="s">
        <v>264</v>
      </c>
      <c r="L171" s="13" t="s">
        <v>275</v>
      </c>
      <c r="N171" s="15"/>
      <c r="O171" s="15"/>
      <c r="P171" s="15"/>
    </row>
    <row r="172" spans="10:16" x14ac:dyDescent="0.25">
      <c r="J172" s="13">
        <v>171</v>
      </c>
      <c r="K172" s="13" t="s">
        <v>265</v>
      </c>
      <c r="L172" s="13" t="s">
        <v>275</v>
      </c>
      <c r="N172" s="15"/>
      <c r="O172" s="15"/>
      <c r="P172" s="15"/>
    </row>
    <row r="173" spans="10:16" x14ac:dyDescent="0.25">
      <c r="J173" s="13">
        <v>172</v>
      </c>
      <c r="K173" s="13" t="s">
        <v>266</v>
      </c>
      <c r="L173" s="13" t="s">
        <v>275</v>
      </c>
      <c r="N173" s="15"/>
      <c r="O173" s="15"/>
      <c r="P173" s="15"/>
    </row>
    <row r="174" spans="10:16" x14ac:dyDescent="0.25">
      <c r="J174" s="13">
        <v>173</v>
      </c>
      <c r="K174" s="13" t="s">
        <v>267</v>
      </c>
      <c r="L174" s="13" t="s">
        <v>275</v>
      </c>
      <c r="N174" s="15"/>
      <c r="O174" s="15"/>
      <c r="P174" s="15"/>
    </row>
    <row r="175" spans="10:16" x14ac:dyDescent="0.25">
      <c r="J175" s="13">
        <v>174</v>
      </c>
      <c r="K175" s="13" t="s">
        <v>268</v>
      </c>
      <c r="L175" s="13" t="s">
        <v>275</v>
      </c>
      <c r="N175" s="15"/>
      <c r="O175" s="15"/>
      <c r="P175" s="15"/>
    </row>
    <row r="176" spans="10:16" x14ac:dyDescent="0.25">
      <c r="J176" s="19">
        <v>175</v>
      </c>
      <c r="K176" s="19" t="s">
        <v>277</v>
      </c>
      <c r="L176" s="19" t="s">
        <v>276</v>
      </c>
      <c r="N176" s="15"/>
      <c r="O176" s="15"/>
      <c r="P176" s="15"/>
    </row>
    <row r="177" spans="10:16" x14ac:dyDescent="0.25">
      <c r="J177" s="19">
        <v>176</v>
      </c>
      <c r="K177" s="19" t="s">
        <v>278</v>
      </c>
      <c r="L177" s="19" t="s">
        <v>276</v>
      </c>
      <c r="N177" s="15"/>
      <c r="O177" s="15"/>
      <c r="P177" s="15"/>
    </row>
    <row r="178" spans="10:16" x14ac:dyDescent="0.25">
      <c r="J178" s="19">
        <v>177</v>
      </c>
      <c r="K178" s="19" t="s">
        <v>279</v>
      </c>
      <c r="L178" s="19" t="s">
        <v>276</v>
      </c>
    </row>
    <row r="179" spans="10:16" x14ac:dyDescent="0.25">
      <c r="J179" s="19">
        <v>178</v>
      </c>
      <c r="K179" s="19" t="s">
        <v>280</v>
      </c>
      <c r="L179" s="19" t="s">
        <v>276</v>
      </c>
    </row>
    <row r="180" spans="10:16" x14ac:dyDescent="0.25">
      <c r="J180" s="19">
        <v>179</v>
      </c>
      <c r="K180" s="19" t="s">
        <v>281</v>
      </c>
      <c r="L180" s="19" t="s">
        <v>276</v>
      </c>
    </row>
    <row r="181" spans="10:16" x14ac:dyDescent="0.25">
      <c r="J181" s="19">
        <v>180</v>
      </c>
      <c r="K181" s="19" t="s">
        <v>282</v>
      </c>
      <c r="L181" s="19" t="s">
        <v>276</v>
      </c>
    </row>
    <row r="182" spans="10:16" x14ac:dyDescent="0.25">
      <c r="J182" s="19">
        <v>181</v>
      </c>
      <c r="K182" s="19" t="s">
        <v>180</v>
      </c>
      <c r="L182" s="19" t="s">
        <v>276</v>
      </c>
    </row>
    <row r="183" spans="10:16" x14ac:dyDescent="0.25">
      <c r="J183" s="19">
        <v>182</v>
      </c>
      <c r="K183" s="19" t="s">
        <v>283</v>
      </c>
      <c r="L183" s="19" t="s">
        <v>276</v>
      </c>
    </row>
    <row r="184" spans="10:16" x14ac:dyDescent="0.25">
      <c r="J184" s="19">
        <v>183</v>
      </c>
      <c r="K184" s="19" t="s">
        <v>284</v>
      </c>
      <c r="L184" s="19" t="s">
        <v>276</v>
      </c>
    </row>
    <row r="185" spans="10:16" x14ac:dyDescent="0.25">
      <c r="J185" s="19">
        <v>184</v>
      </c>
      <c r="K185" s="19" t="s">
        <v>285</v>
      </c>
      <c r="L185" s="19" t="s">
        <v>276</v>
      </c>
    </row>
    <row r="186" spans="10:16" x14ac:dyDescent="0.25">
      <c r="J186" s="20">
        <v>185</v>
      </c>
      <c r="K186" s="20" t="s">
        <v>287</v>
      </c>
      <c r="L186" s="20" t="s">
        <v>286</v>
      </c>
    </row>
    <row r="187" spans="10:16" x14ac:dyDescent="0.25">
      <c r="J187" s="20">
        <v>186</v>
      </c>
      <c r="K187" s="20" t="s">
        <v>288</v>
      </c>
      <c r="L187" s="20" t="s">
        <v>286</v>
      </c>
    </row>
    <row r="188" spans="10:16" x14ac:dyDescent="0.25">
      <c r="J188" s="20">
        <v>187</v>
      </c>
      <c r="K188" s="20" t="s">
        <v>289</v>
      </c>
      <c r="L188" s="20" t="s">
        <v>286</v>
      </c>
    </row>
    <row r="189" spans="10:16" x14ac:dyDescent="0.25">
      <c r="J189" s="20">
        <v>188</v>
      </c>
      <c r="K189" s="20" t="s">
        <v>290</v>
      </c>
      <c r="L189" s="20" t="s">
        <v>286</v>
      </c>
    </row>
    <row r="190" spans="10:16" x14ac:dyDescent="0.25">
      <c r="J190" s="20">
        <v>189</v>
      </c>
      <c r="K190" s="20" t="s">
        <v>291</v>
      </c>
      <c r="L190" s="20" t="s">
        <v>286</v>
      </c>
    </row>
    <row r="191" spans="10:16" x14ac:dyDescent="0.25">
      <c r="J191" s="20">
        <v>190</v>
      </c>
      <c r="K191" s="20" t="s">
        <v>292</v>
      </c>
      <c r="L191" s="20" t="s">
        <v>286</v>
      </c>
    </row>
    <row r="192" spans="10:16" x14ac:dyDescent="0.25">
      <c r="J192" s="20">
        <v>191</v>
      </c>
      <c r="K192" s="20" t="s">
        <v>293</v>
      </c>
      <c r="L192" s="20" t="s">
        <v>286</v>
      </c>
    </row>
    <row r="193" spans="10:12" x14ac:dyDescent="0.25">
      <c r="J193" s="20">
        <v>192</v>
      </c>
      <c r="K193" s="20" t="s">
        <v>294</v>
      </c>
      <c r="L193" s="20" t="s">
        <v>286</v>
      </c>
    </row>
    <row r="194" spans="10:12" x14ac:dyDescent="0.25">
      <c r="J194" s="20">
        <v>193</v>
      </c>
      <c r="K194" s="20" t="s">
        <v>295</v>
      </c>
      <c r="L194" s="20" t="s">
        <v>286</v>
      </c>
    </row>
    <row r="195" spans="10:12" x14ac:dyDescent="0.25">
      <c r="J195" s="20">
        <v>194</v>
      </c>
      <c r="K195" s="20" t="s">
        <v>296</v>
      </c>
      <c r="L195" s="20" t="s">
        <v>286</v>
      </c>
    </row>
  </sheetData>
  <conditionalFormatting sqref="F2:F78">
    <cfRule type="duplicateValues" dxfId="31" priority="1"/>
    <cfRule type="duplicateValues" dxfId="30" priority="5"/>
    <cfRule type="cellIs" dxfId="29" priority="6" operator="equal">
      <formula>5773500711</formula>
    </cfRule>
    <cfRule type="cellIs" dxfId="28" priority="7" operator="equal">
      <formula>2710639176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80"/>
  <sheetViews>
    <sheetView zoomScaleNormal="100" workbookViewId="0">
      <selection activeCell="A2" sqref="A1:A1048576"/>
    </sheetView>
  </sheetViews>
  <sheetFormatPr baseColWidth="10" defaultRowHeight="15" x14ac:dyDescent="0.25"/>
  <cols>
    <col min="1" max="1" width="11.7109375" customWidth="1"/>
    <col min="2" max="2" width="10.5703125" customWidth="1"/>
    <col min="3" max="3" width="9.42578125" customWidth="1"/>
    <col min="5" max="5" width="11.42578125" customWidth="1"/>
    <col min="6" max="6" width="37.5703125" customWidth="1"/>
    <col min="7" max="7" width="34.42578125" customWidth="1"/>
    <col min="8" max="8" width="36.5703125" customWidth="1"/>
    <col min="9" max="9" width="15.85546875" customWidth="1"/>
    <col min="11" max="11" width="15.85546875" customWidth="1"/>
    <col min="12" max="12" width="40" customWidth="1"/>
    <col min="13" max="13" width="36.5703125" customWidth="1"/>
    <col min="14" max="14" width="22.85546875" customWidth="1"/>
    <col min="15" max="15" width="19.5703125" customWidth="1"/>
    <col min="17" max="17" width="20.140625" customWidth="1"/>
    <col min="18" max="18" width="33.28515625" customWidth="1"/>
    <col min="19" max="19" width="5.85546875" customWidth="1"/>
  </cols>
  <sheetData>
    <row r="1" spans="1:28" x14ac:dyDescent="0.25">
      <c r="A1" s="130" t="s">
        <v>317</v>
      </c>
      <c r="B1" s="130"/>
      <c r="C1" s="130"/>
      <c r="D1" s="130"/>
      <c r="E1" s="130"/>
      <c r="F1" s="17" t="s">
        <v>399</v>
      </c>
    </row>
    <row r="2" spans="1:28" ht="20.25" customHeight="1" x14ac:dyDescent="0.25">
      <c r="A2" s="61" t="s">
        <v>105</v>
      </c>
      <c r="B2" s="61" t="s">
        <v>322</v>
      </c>
      <c r="C2" s="61" t="s">
        <v>106</v>
      </c>
      <c r="D2" s="61" t="s">
        <v>323</v>
      </c>
      <c r="E2" s="61" t="s">
        <v>10</v>
      </c>
      <c r="F2" s="62" t="s">
        <v>325</v>
      </c>
      <c r="G2" s="63" t="s">
        <v>326</v>
      </c>
      <c r="H2" s="63" t="s">
        <v>327</v>
      </c>
      <c r="I2" s="62" t="s">
        <v>107</v>
      </c>
      <c r="J2" s="62" t="s">
        <v>108</v>
      </c>
      <c r="K2" s="64" t="s">
        <v>109</v>
      </c>
      <c r="L2" s="65" t="s">
        <v>328</v>
      </c>
      <c r="M2" s="65" t="s">
        <v>329</v>
      </c>
      <c r="N2" s="65" t="s">
        <v>330</v>
      </c>
      <c r="O2" s="65" t="s">
        <v>331</v>
      </c>
      <c r="P2" s="65" t="s">
        <v>108</v>
      </c>
      <c r="Q2" s="65" t="s">
        <v>109</v>
      </c>
      <c r="R2" s="66" t="s">
        <v>110</v>
      </c>
      <c r="S2" s="5" t="s">
        <v>111</v>
      </c>
      <c r="W2" s="56"/>
      <c r="X2" s="22" t="s">
        <v>318</v>
      </c>
      <c r="AB2" s="55"/>
    </row>
    <row r="3" spans="1:28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W3" s="2"/>
      <c r="X3" s="6">
        <v>2</v>
      </c>
      <c r="Y3" t="s">
        <v>319</v>
      </c>
    </row>
    <row r="4" spans="1:28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</row>
    <row r="5" spans="1:28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</row>
    <row r="6" spans="1:28" x14ac:dyDescent="0.25">
      <c r="A6" s="8"/>
      <c r="B6" s="8"/>
      <c r="C6" s="8"/>
      <c r="D6" s="8"/>
      <c r="E6" s="21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</row>
    <row r="7" spans="1:28" x14ac:dyDescent="0.25">
      <c r="A7" s="8"/>
      <c r="B7" s="8"/>
      <c r="C7" s="8"/>
      <c r="D7" s="8"/>
      <c r="E7" s="21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</row>
    <row r="8" spans="1:28" x14ac:dyDescent="0.25">
      <c r="A8" s="8"/>
      <c r="B8" s="8"/>
      <c r="C8" s="8"/>
      <c r="D8" s="8"/>
      <c r="E8" s="21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</row>
    <row r="9" spans="1:28" x14ac:dyDescent="0.25">
      <c r="A9" s="8"/>
      <c r="B9" s="8"/>
      <c r="C9" s="8"/>
      <c r="D9" s="8"/>
      <c r="E9" s="21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</row>
    <row r="10" spans="1:28" x14ac:dyDescent="0.25">
      <c r="A10" s="8"/>
      <c r="B10" s="8"/>
      <c r="C10" s="8"/>
      <c r="D10" s="8"/>
      <c r="E10" s="21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28" x14ac:dyDescent="0.25">
      <c r="A11" s="8"/>
      <c r="B11" s="8"/>
      <c r="C11" s="8"/>
      <c r="D11" s="8"/>
      <c r="E11" s="21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</row>
    <row r="12" spans="1:28" x14ac:dyDescent="0.25">
      <c r="A12" s="8"/>
      <c r="B12" s="8"/>
      <c r="C12" s="8"/>
      <c r="D12" s="8"/>
      <c r="E12" s="21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</row>
    <row r="13" spans="1:28" x14ac:dyDescent="0.25">
      <c r="A13" s="8"/>
      <c r="B13" s="8"/>
      <c r="C13" s="8"/>
      <c r="D13" s="8"/>
      <c r="E13" s="21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</row>
    <row r="14" spans="1:28" x14ac:dyDescent="0.25">
      <c r="A14" s="8"/>
      <c r="B14" s="8"/>
      <c r="C14" s="8"/>
      <c r="D14" s="8"/>
      <c r="E14" s="21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</row>
    <row r="15" spans="1:28" x14ac:dyDescent="0.25">
      <c r="A15" s="8"/>
      <c r="B15" s="8"/>
      <c r="C15" s="8"/>
      <c r="D15" s="8"/>
      <c r="E15" s="21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</row>
    <row r="16" spans="1:28" x14ac:dyDescent="0.25">
      <c r="A16" s="8"/>
      <c r="B16" s="8"/>
      <c r="C16" s="8"/>
      <c r="D16" s="8"/>
      <c r="E16" s="21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</row>
    <row r="17" spans="1:19" x14ac:dyDescent="0.25">
      <c r="A17" s="8"/>
      <c r="B17" s="8"/>
      <c r="C17" s="8"/>
      <c r="D17" s="8"/>
      <c r="E17" s="21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</row>
    <row r="18" spans="1:19" x14ac:dyDescent="0.25">
      <c r="A18" s="8"/>
      <c r="B18" s="8"/>
      <c r="C18" s="8"/>
      <c r="D18" s="8"/>
      <c r="E18" s="21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25">
      <c r="A19" s="8"/>
      <c r="B19" s="8"/>
      <c r="C19" s="8"/>
      <c r="D19" s="8"/>
      <c r="E19" s="21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x14ac:dyDescent="0.25">
      <c r="A20" s="8"/>
      <c r="B20" s="8"/>
      <c r="C20" s="8"/>
      <c r="D20" s="8"/>
      <c r="E20" s="21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</row>
    <row r="21" spans="1:19" x14ac:dyDescent="0.25">
      <c r="A21" s="8"/>
      <c r="B21" s="8"/>
      <c r="C21" s="8"/>
      <c r="D21" s="8"/>
      <c r="E21" s="21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</row>
    <row r="22" spans="1:19" x14ac:dyDescent="0.25">
      <c r="A22" s="8"/>
      <c r="B22" s="8"/>
      <c r="C22" s="8"/>
      <c r="D22" s="8"/>
      <c r="E22" s="21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</row>
    <row r="23" spans="1:19" x14ac:dyDescent="0.25">
      <c r="A23" s="8"/>
      <c r="B23" s="8"/>
      <c r="C23" s="8"/>
      <c r="D23" s="8"/>
      <c r="E23" s="21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</row>
    <row r="24" spans="1:19" x14ac:dyDescent="0.25">
      <c r="A24" s="8"/>
      <c r="B24" s="8"/>
      <c r="C24" s="8"/>
      <c r="D24" s="8"/>
      <c r="E24" s="21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</row>
    <row r="25" spans="1:19" x14ac:dyDescent="0.25">
      <c r="A25" s="8"/>
      <c r="B25" s="8"/>
      <c r="C25" s="8"/>
      <c r="D25" s="8"/>
      <c r="E25" s="21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</row>
    <row r="26" spans="1:19" x14ac:dyDescent="0.25">
      <c r="A26" s="8"/>
      <c r="B26" s="8"/>
      <c r="C26" s="8"/>
      <c r="D26" s="8"/>
      <c r="E26" s="21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</row>
    <row r="27" spans="1:19" x14ac:dyDescent="0.25">
      <c r="A27" s="8"/>
      <c r="B27" s="8"/>
      <c r="C27" s="8"/>
      <c r="D27" s="8"/>
      <c r="E27" s="21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</row>
    <row r="28" spans="1:19" x14ac:dyDescent="0.25">
      <c r="A28" s="8"/>
      <c r="B28" s="8"/>
      <c r="C28" s="8"/>
      <c r="D28" s="8"/>
      <c r="E28" s="21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</row>
    <row r="29" spans="1:19" x14ac:dyDescent="0.25">
      <c r="A29" s="8"/>
      <c r="B29" s="8"/>
      <c r="C29" s="8"/>
      <c r="D29" s="8"/>
      <c r="E29" s="21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</row>
    <row r="30" spans="1:19" x14ac:dyDescent="0.25">
      <c r="A30" s="8"/>
      <c r="B30" s="8"/>
      <c r="C30" s="8"/>
      <c r="D30" s="8"/>
      <c r="E30" s="21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</row>
    <row r="31" spans="1:19" x14ac:dyDescent="0.25">
      <c r="A31" s="8"/>
      <c r="B31" s="8"/>
      <c r="C31" s="8"/>
      <c r="D31" s="8"/>
      <c r="E31" s="21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</row>
    <row r="32" spans="1:19" x14ac:dyDescent="0.25">
      <c r="A32" s="8"/>
      <c r="B32" s="8"/>
      <c r="C32" s="8"/>
      <c r="D32" s="8"/>
      <c r="E32" s="21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</row>
    <row r="33" spans="1:19" x14ac:dyDescent="0.25">
      <c r="A33" s="8"/>
      <c r="B33" s="8"/>
      <c r="C33" s="8"/>
      <c r="D33" s="8"/>
      <c r="E33" s="21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</row>
    <row r="34" spans="1:19" x14ac:dyDescent="0.25">
      <c r="A34" s="8"/>
      <c r="B34" s="8"/>
      <c r="C34" s="8"/>
      <c r="D34" s="8"/>
      <c r="E34" s="21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</row>
    <row r="35" spans="1:19" x14ac:dyDescent="0.25">
      <c r="A35" s="8"/>
      <c r="B35" s="8"/>
      <c r="C35" s="8"/>
      <c r="D35" s="8"/>
      <c r="E35" s="21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</row>
    <row r="36" spans="1:19" x14ac:dyDescent="0.25">
      <c r="A36" s="8"/>
      <c r="B36" s="8"/>
      <c r="C36" s="8"/>
      <c r="D36" s="8"/>
      <c r="E36" s="21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</row>
    <row r="37" spans="1:19" x14ac:dyDescent="0.25">
      <c r="A37" s="8"/>
      <c r="B37" s="8"/>
      <c r="C37" s="8"/>
      <c r="D37" s="8"/>
      <c r="E37" s="21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</row>
    <row r="38" spans="1:19" x14ac:dyDescent="0.25">
      <c r="A38" s="8"/>
      <c r="B38" s="8"/>
      <c r="C38" s="8"/>
      <c r="D38" s="8"/>
      <c r="E38" s="21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</row>
    <row r="39" spans="1:19" x14ac:dyDescent="0.25">
      <c r="A39" s="8"/>
      <c r="B39" s="8"/>
      <c r="C39" s="8"/>
      <c r="D39" s="8"/>
      <c r="E39" s="21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</row>
    <row r="40" spans="1:19" x14ac:dyDescent="0.25">
      <c r="A40" s="8"/>
      <c r="B40" s="8"/>
      <c r="C40" s="8"/>
      <c r="D40" s="8"/>
      <c r="E40" s="21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</row>
    <row r="41" spans="1:19" x14ac:dyDescent="0.25">
      <c r="A41" s="8"/>
      <c r="B41" s="8"/>
      <c r="C41" s="8"/>
      <c r="D41" s="8"/>
      <c r="E41" s="21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</row>
    <row r="42" spans="1:19" x14ac:dyDescent="0.25">
      <c r="A42" s="8"/>
      <c r="B42" s="8"/>
      <c r="C42" s="8"/>
      <c r="D42" s="8"/>
      <c r="E42" s="21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</row>
    <row r="43" spans="1:19" x14ac:dyDescent="0.25">
      <c r="A43" s="8"/>
      <c r="B43" s="8"/>
      <c r="C43" s="8"/>
      <c r="D43" s="8"/>
      <c r="E43" s="21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</row>
    <row r="44" spans="1:19" x14ac:dyDescent="0.25">
      <c r="A44" s="8"/>
      <c r="B44" s="8"/>
      <c r="C44" s="8"/>
      <c r="D44" s="8"/>
      <c r="E44" s="21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</row>
    <row r="45" spans="1:19" x14ac:dyDescent="0.25">
      <c r="A45" s="8"/>
      <c r="B45" s="8"/>
      <c r="C45" s="8"/>
      <c r="D45" s="8"/>
      <c r="E45" s="21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x14ac:dyDescent="0.25">
      <c r="A46" s="8"/>
      <c r="B46" s="8"/>
      <c r="C46" s="8"/>
      <c r="D46" s="8"/>
      <c r="E46" s="21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</row>
    <row r="47" spans="1:19" x14ac:dyDescent="0.25">
      <c r="A47" s="8"/>
      <c r="B47" s="8"/>
      <c r="C47" s="8"/>
      <c r="D47" s="8"/>
      <c r="E47" s="21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</row>
    <row r="48" spans="1:19" x14ac:dyDescent="0.25">
      <c r="A48" s="8"/>
      <c r="B48" s="8"/>
      <c r="C48" s="8"/>
      <c r="D48" s="8"/>
      <c r="E48" s="21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</row>
    <row r="49" spans="1:19" x14ac:dyDescent="0.25">
      <c r="A49" s="8"/>
      <c r="B49" s="8"/>
      <c r="C49" s="8"/>
      <c r="D49" s="8"/>
      <c r="E49" s="21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</row>
    <row r="50" spans="1:19" x14ac:dyDescent="0.25">
      <c r="A50" s="8"/>
      <c r="B50" s="8"/>
      <c r="C50" s="8"/>
      <c r="D50" s="8"/>
      <c r="E50" s="21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</row>
    <row r="51" spans="1:19" x14ac:dyDescent="0.25">
      <c r="A51" s="8"/>
      <c r="B51" s="8"/>
      <c r="C51" s="8"/>
      <c r="D51" s="8"/>
      <c r="E51" s="21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</row>
    <row r="52" spans="1:19" x14ac:dyDescent="0.25">
      <c r="A52" s="8"/>
      <c r="B52" s="8"/>
      <c r="C52" s="8"/>
      <c r="D52" s="8"/>
      <c r="E52" s="21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</row>
    <row r="53" spans="1:19" x14ac:dyDescent="0.25">
      <c r="A53" s="8"/>
      <c r="B53" s="8"/>
      <c r="C53" s="8"/>
      <c r="D53" s="8"/>
      <c r="E53" s="21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</row>
    <row r="54" spans="1:19" x14ac:dyDescent="0.25">
      <c r="A54" s="8"/>
      <c r="B54" s="8"/>
      <c r="C54" s="8"/>
      <c r="D54" s="8"/>
      <c r="E54" s="21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</row>
    <row r="55" spans="1:19" x14ac:dyDescent="0.25">
      <c r="A55" s="8"/>
      <c r="B55" s="8"/>
      <c r="C55" s="8"/>
      <c r="D55" s="8"/>
      <c r="E55" s="21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</row>
    <row r="56" spans="1:19" x14ac:dyDescent="0.25">
      <c r="A56" s="8"/>
      <c r="B56" s="8"/>
      <c r="C56" s="8"/>
      <c r="D56" s="8"/>
      <c r="E56" s="21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</row>
    <row r="57" spans="1:19" x14ac:dyDescent="0.25">
      <c r="A57" s="8"/>
      <c r="B57" s="8"/>
      <c r="C57" s="8"/>
      <c r="D57" s="8"/>
      <c r="E57" s="21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</row>
    <row r="58" spans="1:19" x14ac:dyDescent="0.25">
      <c r="A58" s="8"/>
      <c r="B58" s="8"/>
      <c r="C58" s="8"/>
      <c r="D58" s="8"/>
      <c r="E58" s="21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</row>
    <row r="59" spans="1:19" x14ac:dyDescent="0.25">
      <c r="A59" s="8"/>
      <c r="B59" s="8"/>
      <c r="C59" s="8"/>
      <c r="D59" s="8"/>
      <c r="E59" s="21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</row>
    <row r="60" spans="1:19" x14ac:dyDescent="0.25">
      <c r="A60" s="8"/>
      <c r="B60" s="8"/>
      <c r="C60" s="8"/>
      <c r="D60" s="8"/>
      <c r="E60" s="21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</row>
    <row r="61" spans="1:19" x14ac:dyDescent="0.25">
      <c r="A61" s="8"/>
      <c r="B61" s="8"/>
      <c r="C61" s="8"/>
      <c r="D61" s="8"/>
      <c r="E61" s="21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</row>
    <row r="62" spans="1:19" x14ac:dyDescent="0.25">
      <c r="A62" s="8"/>
      <c r="B62" s="8"/>
      <c r="C62" s="8"/>
      <c r="D62" s="8"/>
      <c r="E62" s="21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</row>
    <row r="63" spans="1:19" x14ac:dyDescent="0.25">
      <c r="A63" s="8"/>
      <c r="B63" s="8"/>
      <c r="C63" s="8"/>
      <c r="D63" s="8"/>
      <c r="E63" s="21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</row>
    <row r="64" spans="1:19" x14ac:dyDescent="0.25">
      <c r="B64" s="8"/>
      <c r="C64" s="8"/>
      <c r="D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</row>
    <row r="65" spans="1:19" x14ac:dyDescent="0.25">
      <c r="B65" s="8"/>
      <c r="C65" s="8"/>
      <c r="D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</row>
    <row r="66" spans="1:19" x14ac:dyDescent="0.25">
      <c r="B66" s="8"/>
      <c r="C66" s="8"/>
      <c r="D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1:19" x14ac:dyDescent="0.25">
      <c r="B67" s="8"/>
      <c r="C67" s="8"/>
      <c r="D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</row>
    <row r="68" spans="1:19" x14ac:dyDescent="0.25">
      <c r="B68" s="8"/>
      <c r="C68" s="8"/>
      <c r="D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</row>
    <row r="69" spans="1:19" x14ac:dyDescent="0.25">
      <c r="B69" s="8"/>
      <c r="C69" s="8"/>
      <c r="D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</row>
    <row r="70" spans="1:19" x14ac:dyDescent="0.25">
      <c r="B70" s="8"/>
      <c r="C70" s="8"/>
      <c r="D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</row>
    <row r="71" spans="1:19" x14ac:dyDescent="0.25">
      <c r="B71" s="8"/>
      <c r="C71" s="8"/>
      <c r="D71" s="8"/>
      <c r="E71" s="10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</row>
    <row r="72" spans="1:19" x14ac:dyDescent="0.25">
      <c r="B72" s="8"/>
      <c r="C72" s="8"/>
      <c r="D72" s="8"/>
      <c r="E72" s="10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</row>
    <row r="73" spans="1:19" x14ac:dyDescent="0.25">
      <c r="B73" s="8"/>
      <c r="C73" s="8"/>
      <c r="D73" s="8"/>
      <c r="E73" s="10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</row>
    <row r="74" spans="1:19" x14ac:dyDescent="0.25">
      <c r="B74" s="8"/>
      <c r="C74" s="8"/>
      <c r="D74" s="8"/>
      <c r="E74" s="10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</row>
    <row r="75" spans="1:19" x14ac:dyDescent="0.25">
      <c r="B75" s="8"/>
      <c r="C75" s="8"/>
      <c r="D75" s="8"/>
      <c r="E75" s="10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</row>
    <row r="76" spans="1:19" ht="15.75" x14ac:dyDescent="0.25">
      <c r="A76" s="7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8"/>
      <c r="S76" s="9"/>
    </row>
    <row r="77" spans="1:19" ht="15.75" x14ac:dyDescent="0.25">
      <c r="A77" s="7"/>
    </row>
    <row r="78" spans="1:19" ht="15.75" x14ac:dyDescent="0.25">
      <c r="A78" s="7"/>
    </row>
    <row r="79" spans="1:19" ht="15.75" x14ac:dyDescent="0.25">
      <c r="A79" s="7"/>
    </row>
    <row r="80" spans="1:19" ht="15.75" x14ac:dyDescent="0.25">
      <c r="A80" s="7"/>
    </row>
  </sheetData>
  <sortState ref="A2:S5">
    <sortCondition ref="S2:S5"/>
  </sortState>
  <mergeCells count="1">
    <mergeCell ref="A1:E1"/>
  </mergeCells>
  <conditionalFormatting sqref="A3 A6:A1048576">
    <cfRule type="duplicateValues" dxfId="27" priority="14"/>
  </conditionalFormatting>
  <conditionalFormatting sqref="A3 A6:A76">
    <cfRule type="duplicateValues" dxfId="26" priority="295"/>
  </conditionalFormatting>
  <conditionalFormatting sqref="A1">
    <cfRule type="duplicateValues" dxfId="25" priority="10"/>
    <cfRule type="duplicateValues" dxfId="24" priority="11"/>
  </conditionalFormatting>
  <conditionalFormatting sqref="A4">
    <cfRule type="duplicateValues" dxfId="23" priority="8"/>
  </conditionalFormatting>
  <conditionalFormatting sqref="A4">
    <cfRule type="duplicateValues" dxfId="22" priority="9"/>
  </conditionalFormatting>
  <conditionalFormatting sqref="A5">
    <cfRule type="duplicateValues" dxfId="21" priority="6"/>
  </conditionalFormatting>
  <conditionalFormatting sqref="A5">
    <cfRule type="duplicateValues" dxfId="20" priority="7"/>
  </conditionalFormatting>
  <conditionalFormatting sqref="A2">
    <cfRule type="duplicateValues" dxfId="19" priority="3"/>
  </conditionalFormatting>
  <conditionalFormatting sqref="A2">
    <cfRule type="duplicateValues" dxfId="18" priority="4"/>
  </conditionalFormatting>
  <conditionalFormatting sqref="A3:A4">
    <cfRule type="duplicateValues" dxfId="17" priority="2"/>
  </conditionalFormatting>
  <conditionalFormatting sqref="A1:A1048576">
    <cfRule type="duplicateValues" dxfId="5" priority="1"/>
  </conditionalFormatting>
  <pageMargins left="0.12" right="0.7" top="0.16" bottom="0.14000000000000001" header="0.17" footer="0.12"/>
  <pageSetup scale="71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100"/>
  <sheetViews>
    <sheetView tabSelected="1" topLeftCell="C1" workbookViewId="0">
      <selection activeCell="D4" sqref="D4"/>
    </sheetView>
  </sheetViews>
  <sheetFormatPr baseColWidth="10" defaultRowHeight="15.75" x14ac:dyDescent="0.25"/>
  <cols>
    <col min="1" max="1" width="11.42578125" style="81" customWidth="1"/>
    <col min="2" max="2" width="21.42578125" style="81" customWidth="1"/>
    <col min="3" max="3" width="24.42578125" style="81" customWidth="1"/>
    <col min="4" max="4" width="27.28515625" style="88" customWidth="1"/>
    <col min="5" max="5" width="24.42578125" style="81" customWidth="1"/>
    <col min="6" max="6" width="14.85546875" style="81" customWidth="1"/>
    <col min="7" max="7" width="13" style="81" customWidth="1"/>
    <col min="8" max="8" width="10.140625" style="81" customWidth="1"/>
    <col min="9" max="11" width="11.42578125" style="81"/>
    <col min="12" max="12" width="42.5703125" style="82" customWidth="1"/>
    <col min="13" max="13" width="18.140625" style="81" customWidth="1"/>
    <col min="14" max="14" width="27.28515625" style="81" customWidth="1"/>
    <col min="15" max="16" width="11.42578125" style="81" customWidth="1"/>
    <col min="17" max="17" width="11.42578125" style="81"/>
    <col min="18" max="18" width="27.42578125" style="81" customWidth="1"/>
    <col min="19" max="19" width="33.28515625" style="81" customWidth="1"/>
    <col min="20" max="20" width="20.7109375" style="81" customWidth="1"/>
    <col min="21" max="21" width="11.42578125" style="81"/>
    <col min="22" max="22" width="17.42578125" style="81" customWidth="1"/>
    <col min="23" max="23" width="22.140625" style="81" customWidth="1"/>
    <col min="24" max="24" width="11.42578125" style="81"/>
    <col min="25" max="25" width="50.28515625" style="81" customWidth="1"/>
    <col min="26" max="26" width="42.140625" style="81" customWidth="1"/>
    <col min="27" max="27" width="23.5703125" style="81" customWidth="1"/>
    <col min="28" max="28" width="23.85546875" style="81" customWidth="1"/>
    <col min="29" max="29" width="21.42578125" style="81" customWidth="1"/>
    <col min="30" max="30" width="25.7109375" style="81" customWidth="1"/>
    <col min="31" max="31" width="27.140625" style="81" customWidth="1"/>
    <col min="32" max="32" width="22.28515625" style="81" customWidth="1"/>
    <col min="33" max="33" width="22.7109375" style="81" customWidth="1"/>
    <col min="34" max="48" width="11.42578125" style="81"/>
    <col min="49" max="49" width="15.28515625" style="81" customWidth="1"/>
    <col min="50" max="51" width="11.42578125" style="81"/>
    <col min="52" max="52" width="24.42578125" style="81" customWidth="1"/>
    <col min="53" max="53" width="20" style="81" customWidth="1"/>
    <col min="54" max="54" width="11.42578125" style="81"/>
    <col min="55" max="55" width="11.42578125" style="81" customWidth="1"/>
    <col min="56" max="56" width="11.42578125" style="81"/>
  </cols>
  <sheetData>
    <row r="1" spans="1:56" x14ac:dyDescent="0.25">
      <c r="A1" s="132" t="s">
        <v>317</v>
      </c>
      <c r="B1" s="132"/>
      <c r="C1" s="132"/>
      <c r="D1" s="72" t="s">
        <v>399</v>
      </c>
      <c r="E1" s="72"/>
      <c r="F1" s="131"/>
      <c r="G1" s="131"/>
      <c r="H1" s="71"/>
      <c r="I1" s="68"/>
      <c r="J1" s="68"/>
      <c r="K1" s="69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/>
      <c r="BA1" s="68"/>
      <c r="BB1" s="68"/>
      <c r="BC1" s="68"/>
      <c r="BD1" s="68"/>
    </row>
    <row r="2" spans="1:56" ht="15" x14ac:dyDescent="0.25">
      <c r="A2" s="73" t="s">
        <v>382</v>
      </c>
      <c r="B2" s="73" t="s">
        <v>383</v>
      </c>
      <c r="C2" s="73" t="s">
        <v>384</v>
      </c>
      <c r="D2" s="74" t="s">
        <v>385</v>
      </c>
      <c r="E2" s="75" t="s">
        <v>386</v>
      </c>
      <c r="F2" s="75" t="s">
        <v>332</v>
      </c>
      <c r="G2" s="75" t="s">
        <v>333</v>
      </c>
      <c r="H2" s="75" t="s">
        <v>334</v>
      </c>
      <c r="I2" s="75" t="s">
        <v>335</v>
      </c>
      <c r="J2" s="75" t="s">
        <v>336</v>
      </c>
      <c r="K2" s="76" t="s">
        <v>337</v>
      </c>
      <c r="L2" s="75" t="s">
        <v>338</v>
      </c>
      <c r="M2" s="75" t="s">
        <v>339</v>
      </c>
      <c r="N2" s="75" t="s">
        <v>340</v>
      </c>
      <c r="O2" s="75" t="s">
        <v>341</v>
      </c>
      <c r="P2" s="75" t="s">
        <v>342</v>
      </c>
      <c r="Q2" s="75" t="s">
        <v>343</v>
      </c>
      <c r="R2" s="75" t="s">
        <v>344</v>
      </c>
      <c r="S2" s="75" t="s">
        <v>345</v>
      </c>
      <c r="T2" s="75" t="s">
        <v>346</v>
      </c>
      <c r="U2" s="75" t="s">
        <v>347</v>
      </c>
      <c r="V2" s="75" t="s">
        <v>348</v>
      </c>
      <c r="W2" s="75" t="s">
        <v>349</v>
      </c>
      <c r="X2" s="75" t="s">
        <v>350</v>
      </c>
      <c r="Y2" s="75" t="s">
        <v>351</v>
      </c>
      <c r="Z2" s="75" t="s">
        <v>352</v>
      </c>
      <c r="AA2" s="75" t="s">
        <v>353</v>
      </c>
      <c r="AB2" s="75" t="s">
        <v>354</v>
      </c>
      <c r="AC2" s="75" t="s">
        <v>355</v>
      </c>
      <c r="AD2" s="75" t="s">
        <v>356</v>
      </c>
      <c r="AE2" s="75" t="s">
        <v>357</v>
      </c>
      <c r="AF2" s="75" t="s">
        <v>358</v>
      </c>
      <c r="AG2" s="75" t="s">
        <v>359</v>
      </c>
      <c r="AH2" s="75" t="s">
        <v>360</v>
      </c>
      <c r="AI2" s="75" t="s">
        <v>361</v>
      </c>
      <c r="AJ2" s="75" t="s">
        <v>362</v>
      </c>
      <c r="AK2" s="75" t="s">
        <v>363</v>
      </c>
      <c r="AL2" s="75" t="s">
        <v>364</v>
      </c>
      <c r="AM2" s="75" t="s">
        <v>365</v>
      </c>
      <c r="AN2" s="75" t="s">
        <v>366</v>
      </c>
      <c r="AO2" s="75" t="s">
        <v>367</v>
      </c>
      <c r="AP2" s="75" t="s">
        <v>368</v>
      </c>
      <c r="AQ2" s="75" t="s">
        <v>369</v>
      </c>
      <c r="AR2" s="75" t="s">
        <v>370</v>
      </c>
      <c r="AS2" s="75" t="s">
        <v>371</v>
      </c>
      <c r="AT2" s="75" t="s">
        <v>372</v>
      </c>
      <c r="AU2" s="75" t="s">
        <v>373</v>
      </c>
      <c r="AV2" s="75" t="s">
        <v>374</v>
      </c>
      <c r="AW2" s="75" t="s">
        <v>375</v>
      </c>
      <c r="AX2" s="75" t="s">
        <v>376</v>
      </c>
      <c r="AY2" s="75" t="s">
        <v>377</v>
      </c>
      <c r="AZ2" s="76" t="s">
        <v>378</v>
      </c>
      <c r="BA2" s="75" t="s">
        <v>379</v>
      </c>
      <c r="BB2" s="75" t="s">
        <v>380</v>
      </c>
      <c r="BC2" s="75" t="s">
        <v>381</v>
      </c>
      <c r="BD2" s="67" t="s">
        <v>111</v>
      </c>
    </row>
    <row r="3" spans="1:56" s="87" customFormat="1" ht="15" x14ac:dyDescent="0.2">
      <c r="A3" s="77"/>
      <c r="B3" s="84"/>
      <c r="C3" s="84"/>
      <c r="D3" s="85"/>
      <c r="E3" s="84"/>
      <c r="F3" s="84"/>
      <c r="G3" s="84"/>
      <c r="H3" s="84"/>
      <c r="I3" s="84"/>
      <c r="J3" s="84"/>
      <c r="K3" s="84"/>
      <c r="L3" s="86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9"/>
      <c r="BA3" s="84"/>
      <c r="BB3" s="84"/>
      <c r="BC3" s="84"/>
      <c r="BD3" s="84"/>
    </row>
    <row r="4" spans="1:56" s="70" customFormat="1" x14ac:dyDescent="0.25">
      <c r="A4" s="80"/>
      <c r="B4" s="78"/>
      <c r="C4" s="78"/>
      <c r="D4" s="83"/>
      <c r="E4" s="78"/>
      <c r="F4" s="78"/>
      <c r="G4" s="78"/>
      <c r="H4" s="78"/>
      <c r="I4" s="78"/>
      <c r="J4" s="78"/>
      <c r="K4" s="78"/>
      <c r="L4" s="79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</row>
    <row r="5" spans="1:56" s="70" customFormat="1" x14ac:dyDescent="0.25">
      <c r="A5" s="78"/>
      <c r="B5" s="78"/>
      <c r="C5" s="78"/>
      <c r="D5" s="83"/>
      <c r="E5" s="78"/>
      <c r="F5" s="78"/>
      <c r="G5" s="78"/>
      <c r="H5" s="78"/>
      <c r="I5" s="78"/>
      <c r="J5" s="78"/>
      <c r="K5" s="78"/>
      <c r="L5" s="79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</row>
    <row r="6" spans="1:56" s="70" customFormat="1" x14ac:dyDescent="0.25">
      <c r="A6" s="78"/>
      <c r="B6" s="78"/>
      <c r="C6" s="78"/>
      <c r="D6" s="83"/>
      <c r="E6" s="78"/>
      <c r="F6" s="78"/>
      <c r="G6" s="78"/>
      <c r="H6" s="78"/>
      <c r="I6" s="78"/>
      <c r="J6" s="78"/>
      <c r="K6" s="78"/>
      <c r="L6" s="79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</row>
    <row r="7" spans="1:56" s="70" customFormat="1" x14ac:dyDescent="0.25">
      <c r="A7" s="78"/>
      <c r="B7" s="78"/>
      <c r="C7" s="78"/>
      <c r="D7" s="83"/>
      <c r="E7" s="78"/>
      <c r="F7" s="78"/>
      <c r="G7" s="78"/>
      <c r="H7" s="78"/>
      <c r="I7" s="78"/>
      <c r="J7" s="78"/>
      <c r="K7" s="78"/>
      <c r="L7" s="79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</row>
    <row r="8" spans="1:56" s="70" customFormat="1" x14ac:dyDescent="0.25">
      <c r="A8" s="78"/>
      <c r="B8" s="78"/>
      <c r="C8" s="78"/>
      <c r="D8" s="83"/>
      <c r="E8" s="78"/>
      <c r="F8" s="78"/>
      <c r="G8" s="78"/>
      <c r="H8" s="78"/>
      <c r="I8" s="78"/>
      <c r="J8" s="78"/>
      <c r="K8" s="78"/>
      <c r="L8" s="79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</row>
    <row r="9" spans="1:56" s="70" customFormat="1" x14ac:dyDescent="0.25">
      <c r="A9" s="78"/>
      <c r="B9" s="78"/>
      <c r="C9" s="78"/>
      <c r="D9" s="83"/>
      <c r="E9" s="78"/>
      <c r="F9" s="78"/>
      <c r="G9" s="78"/>
      <c r="H9" s="78"/>
      <c r="I9" s="78"/>
      <c r="J9" s="78"/>
      <c r="K9" s="78"/>
      <c r="L9" s="79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</row>
    <row r="10" spans="1:56" s="70" customFormat="1" x14ac:dyDescent="0.25">
      <c r="A10" s="78"/>
      <c r="B10" s="78"/>
      <c r="C10" s="78"/>
      <c r="D10" s="83"/>
      <c r="E10" s="78"/>
      <c r="F10" s="78"/>
      <c r="G10" s="78"/>
      <c r="H10" s="78"/>
      <c r="I10" s="78"/>
      <c r="J10" s="78"/>
      <c r="K10" s="78"/>
      <c r="L10" s="79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</row>
    <row r="11" spans="1:56" s="70" customFormat="1" x14ac:dyDescent="0.25">
      <c r="A11" s="78"/>
      <c r="B11" s="78"/>
      <c r="C11" s="78"/>
      <c r="D11" s="83"/>
      <c r="E11" s="78"/>
      <c r="F11" s="78"/>
      <c r="G11" s="78"/>
      <c r="H11" s="78"/>
      <c r="I11" s="78"/>
      <c r="J11" s="78"/>
      <c r="K11" s="78"/>
      <c r="L11" s="79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</row>
    <row r="12" spans="1:56" s="70" customFormat="1" x14ac:dyDescent="0.25">
      <c r="A12" s="78"/>
      <c r="B12" s="78"/>
      <c r="C12" s="78"/>
      <c r="D12" s="83"/>
      <c r="E12" s="78"/>
      <c r="F12" s="78"/>
      <c r="G12" s="78"/>
      <c r="H12" s="78"/>
      <c r="I12" s="78"/>
      <c r="J12" s="78"/>
      <c r="K12" s="78"/>
      <c r="L12" s="79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</row>
    <row r="13" spans="1:56" s="70" customFormat="1" x14ac:dyDescent="0.25">
      <c r="A13" s="78"/>
      <c r="B13" s="78"/>
      <c r="C13" s="78"/>
      <c r="D13" s="83"/>
      <c r="E13" s="78"/>
      <c r="F13" s="78"/>
      <c r="G13" s="78"/>
      <c r="H13" s="78"/>
      <c r="I13" s="78"/>
      <c r="J13" s="78"/>
      <c r="K13" s="78"/>
      <c r="L13" s="79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</row>
    <row r="14" spans="1:56" s="70" customFormat="1" x14ac:dyDescent="0.25">
      <c r="A14" s="78"/>
      <c r="B14" s="78"/>
      <c r="C14" s="78"/>
      <c r="D14" s="83"/>
      <c r="E14" s="78"/>
      <c r="F14" s="78"/>
      <c r="G14" s="78"/>
      <c r="H14" s="78"/>
      <c r="I14" s="78"/>
      <c r="J14" s="78"/>
      <c r="K14" s="78"/>
      <c r="L14" s="79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</row>
    <row r="15" spans="1:56" s="70" customFormat="1" x14ac:dyDescent="0.25">
      <c r="A15" s="78"/>
      <c r="B15" s="78"/>
      <c r="C15" s="78"/>
      <c r="D15" s="83"/>
      <c r="E15" s="78"/>
      <c r="F15" s="78"/>
      <c r="G15" s="78"/>
      <c r="H15" s="78"/>
      <c r="I15" s="78"/>
      <c r="J15" s="78"/>
      <c r="K15" s="78"/>
      <c r="L15" s="79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</row>
    <row r="16" spans="1:56" s="70" customFormat="1" x14ac:dyDescent="0.25">
      <c r="A16" s="78"/>
      <c r="B16" s="78"/>
      <c r="C16" s="78"/>
      <c r="D16" s="83"/>
      <c r="E16" s="78"/>
      <c r="F16" s="78"/>
      <c r="G16" s="78"/>
      <c r="H16" s="78"/>
      <c r="I16" s="78"/>
      <c r="J16" s="78"/>
      <c r="K16" s="78"/>
      <c r="L16" s="79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</row>
    <row r="17" spans="1:56" s="70" customFormat="1" x14ac:dyDescent="0.25">
      <c r="A17" s="78"/>
      <c r="B17" s="78"/>
      <c r="C17" s="78"/>
      <c r="D17" s="83"/>
      <c r="E17" s="78"/>
      <c r="F17" s="78"/>
      <c r="G17" s="78"/>
      <c r="H17" s="78"/>
      <c r="I17" s="78"/>
      <c r="J17" s="78"/>
      <c r="K17" s="78"/>
      <c r="L17" s="79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</row>
    <row r="18" spans="1:56" s="70" customFormat="1" x14ac:dyDescent="0.25">
      <c r="A18" s="78"/>
      <c r="B18" s="78"/>
      <c r="C18" s="78"/>
      <c r="D18" s="83"/>
      <c r="E18" s="78"/>
      <c r="F18" s="78"/>
      <c r="G18" s="78"/>
      <c r="H18" s="78"/>
      <c r="I18" s="78"/>
      <c r="J18" s="78"/>
      <c r="K18" s="78"/>
      <c r="L18" s="79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</row>
    <row r="19" spans="1:56" s="70" customFormat="1" x14ac:dyDescent="0.25">
      <c r="A19" s="78"/>
      <c r="B19" s="78"/>
      <c r="C19" s="78"/>
      <c r="D19" s="83"/>
      <c r="E19" s="78"/>
      <c r="F19" s="78"/>
      <c r="G19" s="78"/>
      <c r="H19" s="78"/>
      <c r="I19" s="78"/>
      <c r="J19" s="78"/>
      <c r="K19" s="78"/>
      <c r="L19" s="79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</row>
    <row r="20" spans="1:56" s="70" customFormat="1" x14ac:dyDescent="0.25">
      <c r="A20" s="78"/>
      <c r="B20" s="78"/>
      <c r="C20" s="78"/>
      <c r="D20" s="83"/>
      <c r="E20" s="78"/>
      <c r="F20" s="78"/>
      <c r="G20" s="78"/>
      <c r="H20" s="78"/>
      <c r="I20" s="78"/>
      <c r="J20" s="78"/>
      <c r="K20" s="78"/>
      <c r="L20" s="79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</row>
    <row r="21" spans="1:56" s="70" customFormat="1" x14ac:dyDescent="0.25">
      <c r="A21" s="78"/>
      <c r="B21" s="78"/>
      <c r="C21" s="78"/>
      <c r="D21" s="83"/>
      <c r="E21" s="78"/>
      <c r="F21" s="78"/>
      <c r="G21" s="78"/>
      <c r="H21" s="78"/>
      <c r="I21" s="78"/>
      <c r="J21" s="78"/>
      <c r="K21" s="78"/>
      <c r="L21" s="79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</row>
    <row r="22" spans="1:56" s="70" customFormat="1" x14ac:dyDescent="0.25">
      <c r="A22" s="78"/>
      <c r="B22" s="78"/>
      <c r="C22" s="78"/>
      <c r="D22" s="83"/>
      <c r="E22" s="78"/>
      <c r="F22" s="78"/>
      <c r="G22" s="78"/>
      <c r="H22" s="78"/>
      <c r="I22" s="78"/>
      <c r="J22" s="78"/>
      <c r="K22" s="78"/>
      <c r="L22" s="79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</row>
    <row r="23" spans="1:56" s="70" customFormat="1" x14ac:dyDescent="0.25">
      <c r="A23" s="78"/>
      <c r="B23" s="78"/>
      <c r="C23" s="78"/>
      <c r="D23" s="83"/>
      <c r="E23" s="78"/>
      <c r="F23" s="78"/>
      <c r="G23" s="78"/>
      <c r="H23" s="78"/>
      <c r="I23" s="78"/>
      <c r="J23" s="78"/>
      <c r="K23" s="78"/>
      <c r="L23" s="79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</row>
    <row r="24" spans="1:56" s="70" customFormat="1" x14ac:dyDescent="0.25">
      <c r="A24" s="78"/>
      <c r="B24" s="78"/>
      <c r="C24" s="78"/>
      <c r="D24" s="83"/>
      <c r="E24" s="78"/>
      <c r="F24" s="78"/>
      <c r="G24" s="78"/>
      <c r="H24" s="78"/>
      <c r="I24" s="78"/>
      <c r="J24" s="78"/>
      <c r="K24" s="78"/>
      <c r="L24" s="79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</row>
    <row r="25" spans="1:56" s="70" customFormat="1" x14ac:dyDescent="0.25">
      <c r="A25" s="78"/>
      <c r="B25" s="78"/>
      <c r="C25" s="78"/>
      <c r="D25" s="83"/>
      <c r="E25" s="78"/>
      <c r="F25" s="78"/>
      <c r="G25" s="78"/>
      <c r="H25" s="78"/>
      <c r="I25" s="78"/>
      <c r="J25" s="78"/>
      <c r="K25" s="78"/>
      <c r="L25" s="79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</row>
    <row r="26" spans="1:56" s="70" customFormat="1" x14ac:dyDescent="0.25">
      <c r="A26" s="78"/>
      <c r="B26" s="78"/>
      <c r="C26" s="78"/>
      <c r="D26" s="83"/>
      <c r="E26" s="78"/>
      <c r="F26" s="78"/>
      <c r="G26" s="78"/>
      <c r="H26" s="78"/>
      <c r="I26" s="78"/>
      <c r="J26" s="78"/>
      <c r="K26" s="78"/>
      <c r="L26" s="79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</row>
    <row r="27" spans="1:56" s="70" customFormat="1" x14ac:dyDescent="0.25">
      <c r="A27" s="78"/>
      <c r="B27" s="78"/>
      <c r="C27" s="78"/>
      <c r="D27" s="83"/>
      <c r="E27" s="78"/>
      <c r="F27" s="78"/>
      <c r="G27" s="78"/>
      <c r="H27" s="78"/>
      <c r="I27" s="78"/>
      <c r="J27" s="78"/>
      <c r="K27" s="78"/>
      <c r="L27" s="79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</row>
    <row r="28" spans="1:56" s="70" customFormat="1" x14ac:dyDescent="0.25">
      <c r="A28" s="78"/>
      <c r="B28" s="78"/>
      <c r="C28" s="78"/>
      <c r="D28" s="83"/>
      <c r="E28" s="78"/>
      <c r="F28" s="78"/>
      <c r="G28" s="78"/>
      <c r="H28" s="78"/>
      <c r="I28" s="78"/>
      <c r="J28" s="78"/>
      <c r="K28" s="78"/>
      <c r="L28" s="79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</row>
    <row r="29" spans="1:56" s="70" customFormat="1" x14ac:dyDescent="0.25">
      <c r="A29" s="78"/>
      <c r="B29" s="78"/>
      <c r="C29" s="78"/>
      <c r="D29" s="83"/>
      <c r="E29" s="78"/>
      <c r="F29" s="78"/>
      <c r="G29" s="78"/>
      <c r="H29" s="78"/>
      <c r="I29" s="78"/>
      <c r="J29" s="78"/>
      <c r="K29" s="78"/>
      <c r="L29" s="79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</row>
    <row r="30" spans="1:56" s="70" customFormat="1" x14ac:dyDescent="0.25">
      <c r="A30" s="78"/>
      <c r="B30" s="78"/>
      <c r="C30" s="78"/>
      <c r="D30" s="83"/>
      <c r="E30" s="78"/>
      <c r="F30" s="78"/>
      <c r="G30" s="78"/>
      <c r="H30" s="78"/>
      <c r="I30" s="78"/>
      <c r="J30" s="78"/>
      <c r="K30" s="78"/>
      <c r="L30" s="79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</row>
    <row r="31" spans="1:56" s="70" customFormat="1" x14ac:dyDescent="0.25">
      <c r="A31" s="78"/>
      <c r="B31" s="78"/>
      <c r="C31" s="78"/>
      <c r="D31" s="83"/>
      <c r="E31" s="78"/>
      <c r="F31" s="78"/>
      <c r="G31" s="78"/>
      <c r="H31" s="78"/>
      <c r="I31" s="78"/>
      <c r="J31" s="78"/>
      <c r="K31" s="78"/>
      <c r="L31" s="79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</row>
    <row r="32" spans="1:56" s="70" customFormat="1" x14ac:dyDescent="0.25">
      <c r="A32" s="78"/>
      <c r="B32" s="78"/>
      <c r="C32" s="78"/>
      <c r="D32" s="83"/>
      <c r="E32" s="78"/>
      <c r="F32" s="78"/>
      <c r="G32" s="78"/>
      <c r="H32" s="78"/>
      <c r="I32" s="78"/>
      <c r="J32" s="78"/>
      <c r="K32" s="78"/>
      <c r="L32" s="79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</row>
    <row r="33" spans="1:56" s="70" customFormat="1" x14ac:dyDescent="0.25">
      <c r="A33" s="78"/>
      <c r="B33" s="78"/>
      <c r="C33" s="78"/>
      <c r="D33" s="83"/>
      <c r="E33" s="78"/>
      <c r="F33" s="78"/>
      <c r="G33" s="78"/>
      <c r="H33" s="78"/>
      <c r="I33" s="78"/>
      <c r="J33" s="78"/>
      <c r="K33" s="78"/>
      <c r="L33" s="79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</row>
    <row r="34" spans="1:56" s="70" customFormat="1" x14ac:dyDescent="0.25">
      <c r="A34" s="78"/>
      <c r="B34" s="78"/>
      <c r="C34" s="78"/>
      <c r="D34" s="83"/>
      <c r="E34" s="78"/>
      <c r="F34" s="78"/>
      <c r="G34" s="78"/>
      <c r="H34" s="78"/>
      <c r="I34" s="78"/>
      <c r="J34" s="78"/>
      <c r="K34" s="78"/>
      <c r="L34" s="79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</row>
    <row r="35" spans="1:56" s="70" customFormat="1" x14ac:dyDescent="0.25">
      <c r="A35" s="78"/>
      <c r="B35" s="78"/>
      <c r="C35" s="78"/>
      <c r="D35" s="83"/>
      <c r="E35" s="78"/>
      <c r="F35" s="78"/>
      <c r="G35" s="78"/>
      <c r="H35" s="78"/>
      <c r="I35" s="78"/>
      <c r="J35" s="78"/>
      <c r="K35" s="78"/>
      <c r="L35" s="79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</row>
    <row r="36" spans="1:56" s="70" customFormat="1" x14ac:dyDescent="0.25">
      <c r="A36" s="78"/>
      <c r="B36" s="78"/>
      <c r="C36" s="78"/>
      <c r="D36" s="83"/>
      <c r="E36" s="78"/>
      <c r="F36" s="78"/>
      <c r="G36" s="78"/>
      <c r="H36" s="78"/>
      <c r="I36" s="78"/>
      <c r="J36" s="78"/>
      <c r="K36" s="78"/>
      <c r="L36" s="79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</row>
    <row r="37" spans="1:56" s="70" customFormat="1" x14ac:dyDescent="0.25">
      <c r="A37" s="78"/>
      <c r="B37" s="78"/>
      <c r="C37" s="78"/>
      <c r="D37" s="83"/>
      <c r="E37" s="78"/>
      <c r="F37" s="78"/>
      <c r="G37" s="78"/>
      <c r="H37" s="78"/>
      <c r="I37" s="78"/>
      <c r="J37" s="78"/>
      <c r="K37" s="78"/>
      <c r="L37" s="79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</row>
    <row r="38" spans="1:56" s="70" customFormat="1" x14ac:dyDescent="0.25">
      <c r="A38" s="78"/>
      <c r="B38" s="78"/>
      <c r="C38" s="78"/>
      <c r="D38" s="83"/>
      <c r="E38" s="78"/>
      <c r="F38" s="78"/>
      <c r="G38" s="78"/>
      <c r="H38" s="78"/>
      <c r="I38" s="78"/>
      <c r="J38" s="78"/>
      <c r="K38" s="78"/>
      <c r="L38" s="79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</row>
    <row r="39" spans="1:56" s="70" customFormat="1" x14ac:dyDescent="0.25">
      <c r="A39" s="78"/>
      <c r="B39" s="78"/>
      <c r="C39" s="78"/>
      <c r="D39" s="83"/>
      <c r="E39" s="78"/>
      <c r="F39" s="78"/>
      <c r="G39" s="78"/>
      <c r="H39" s="78"/>
      <c r="I39" s="78"/>
      <c r="J39" s="78"/>
      <c r="K39" s="78"/>
      <c r="L39" s="79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</row>
    <row r="40" spans="1:56" s="70" customFormat="1" x14ac:dyDescent="0.25">
      <c r="A40" s="78"/>
      <c r="B40" s="78"/>
      <c r="C40" s="78"/>
      <c r="D40" s="83"/>
      <c r="E40" s="78"/>
      <c r="F40" s="78"/>
      <c r="G40" s="78"/>
      <c r="H40" s="78"/>
      <c r="I40" s="78"/>
      <c r="J40" s="78"/>
      <c r="K40" s="78"/>
      <c r="L40" s="79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</row>
    <row r="41" spans="1:56" s="70" customFormat="1" x14ac:dyDescent="0.25">
      <c r="A41" s="78"/>
      <c r="B41" s="78"/>
      <c r="C41" s="78"/>
      <c r="D41" s="83"/>
      <c r="E41" s="78"/>
      <c r="F41" s="78"/>
      <c r="G41" s="78"/>
      <c r="H41" s="78"/>
      <c r="I41" s="78"/>
      <c r="J41" s="78"/>
      <c r="K41" s="78"/>
      <c r="L41" s="79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</row>
    <row r="42" spans="1:56" s="70" customFormat="1" x14ac:dyDescent="0.25">
      <c r="A42" s="78"/>
      <c r="B42" s="78"/>
      <c r="C42" s="78"/>
      <c r="D42" s="83"/>
      <c r="E42" s="78"/>
      <c r="F42" s="78"/>
      <c r="G42" s="78"/>
      <c r="H42" s="78"/>
      <c r="I42" s="78"/>
      <c r="J42" s="78"/>
      <c r="K42" s="78"/>
      <c r="L42" s="79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</row>
    <row r="43" spans="1:56" s="70" customFormat="1" x14ac:dyDescent="0.25">
      <c r="A43" s="78"/>
      <c r="B43" s="78"/>
      <c r="C43" s="78"/>
      <c r="D43" s="83"/>
      <c r="E43" s="78"/>
      <c r="F43" s="78"/>
      <c r="G43" s="78"/>
      <c r="H43" s="78"/>
      <c r="I43" s="78"/>
      <c r="J43" s="78"/>
      <c r="K43" s="78"/>
      <c r="L43" s="79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</row>
    <row r="44" spans="1:56" s="70" customFormat="1" x14ac:dyDescent="0.25">
      <c r="A44" s="78"/>
      <c r="B44" s="78"/>
      <c r="C44" s="78"/>
      <c r="D44" s="83"/>
      <c r="E44" s="78"/>
      <c r="F44" s="78"/>
      <c r="G44" s="78"/>
      <c r="H44" s="78"/>
      <c r="I44" s="78"/>
      <c r="J44" s="78"/>
      <c r="K44" s="78"/>
      <c r="L44" s="79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</row>
    <row r="45" spans="1:56" s="70" customFormat="1" x14ac:dyDescent="0.25">
      <c r="A45" s="78"/>
      <c r="B45" s="78"/>
      <c r="C45" s="78"/>
      <c r="D45" s="83"/>
      <c r="E45" s="78"/>
      <c r="F45" s="78"/>
      <c r="G45" s="78"/>
      <c r="H45" s="78"/>
      <c r="I45" s="78"/>
      <c r="J45" s="78"/>
      <c r="K45" s="78"/>
      <c r="L45" s="79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</row>
    <row r="46" spans="1:56" s="70" customFormat="1" x14ac:dyDescent="0.25">
      <c r="A46" s="78"/>
      <c r="B46" s="78"/>
      <c r="C46" s="78"/>
      <c r="D46" s="83"/>
      <c r="E46" s="78"/>
      <c r="F46" s="78"/>
      <c r="G46" s="78"/>
      <c r="H46" s="78"/>
      <c r="I46" s="78"/>
      <c r="J46" s="78"/>
      <c r="K46" s="78"/>
      <c r="L46" s="79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</row>
    <row r="47" spans="1:56" s="70" customFormat="1" x14ac:dyDescent="0.25">
      <c r="A47" s="78"/>
      <c r="B47" s="78"/>
      <c r="C47" s="78"/>
      <c r="D47" s="83"/>
      <c r="E47" s="78"/>
      <c r="F47" s="78"/>
      <c r="G47" s="78"/>
      <c r="H47" s="78"/>
      <c r="I47" s="78"/>
      <c r="J47" s="78"/>
      <c r="K47" s="78"/>
      <c r="L47" s="79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</row>
    <row r="48" spans="1:56" s="70" customFormat="1" x14ac:dyDescent="0.25">
      <c r="A48" s="78"/>
      <c r="B48" s="78"/>
      <c r="C48" s="78"/>
      <c r="D48" s="83"/>
      <c r="E48" s="78"/>
      <c r="F48" s="78"/>
      <c r="G48" s="78"/>
      <c r="H48" s="78"/>
      <c r="I48" s="78"/>
      <c r="J48" s="78"/>
      <c r="K48" s="78"/>
      <c r="L48" s="79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</row>
    <row r="49" spans="1:56" s="70" customFormat="1" x14ac:dyDescent="0.25">
      <c r="A49" s="78"/>
      <c r="B49" s="78"/>
      <c r="C49" s="78"/>
      <c r="D49" s="83"/>
      <c r="E49" s="78"/>
      <c r="F49" s="78"/>
      <c r="G49" s="78"/>
      <c r="H49" s="78"/>
      <c r="I49" s="78"/>
      <c r="J49" s="78"/>
      <c r="K49" s="78"/>
      <c r="L49" s="79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</row>
    <row r="50" spans="1:56" s="70" customFormat="1" x14ac:dyDescent="0.25">
      <c r="A50" s="78"/>
      <c r="B50" s="78"/>
      <c r="C50" s="78"/>
      <c r="D50" s="83"/>
      <c r="E50" s="78"/>
      <c r="F50" s="78"/>
      <c r="G50" s="78"/>
      <c r="H50" s="78"/>
      <c r="I50" s="78"/>
      <c r="J50" s="78"/>
      <c r="K50" s="78"/>
      <c r="L50" s="79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</row>
    <row r="51" spans="1:56" s="70" customFormat="1" x14ac:dyDescent="0.25">
      <c r="A51" s="78"/>
      <c r="B51" s="78"/>
      <c r="C51" s="78"/>
      <c r="D51" s="83"/>
      <c r="E51" s="78"/>
      <c r="F51" s="78"/>
      <c r="G51" s="78"/>
      <c r="H51" s="78"/>
      <c r="I51" s="78"/>
      <c r="J51" s="78"/>
      <c r="K51" s="78"/>
      <c r="L51" s="79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</row>
    <row r="52" spans="1:56" s="70" customFormat="1" x14ac:dyDescent="0.25">
      <c r="A52" s="78"/>
      <c r="B52" s="78"/>
      <c r="C52" s="78"/>
      <c r="D52" s="83"/>
      <c r="E52" s="78"/>
      <c r="F52" s="78"/>
      <c r="G52" s="78"/>
      <c r="H52" s="78"/>
      <c r="I52" s="78"/>
      <c r="J52" s="78"/>
      <c r="K52" s="78"/>
      <c r="L52" s="79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</row>
    <row r="53" spans="1:56" s="70" customFormat="1" x14ac:dyDescent="0.25">
      <c r="A53" s="78"/>
      <c r="B53" s="78"/>
      <c r="C53" s="78"/>
      <c r="D53" s="83"/>
      <c r="E53" s="78"/>
      <c r="F53" s="78"/>
      <c r="G53" s="78"/>
      <c r="H53" s="78"/>
      <c r="I53" s="78"/>
      <c r="J53" s="78"/>
      <c r="K53" s="78"/>
      <c r="L53" s="79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</row>
    <row r="54" spans="1:56" s="70" customFormat="1" x14ac:dyDescent="0.25">
      <c r="A54" s="78"/>
      <c r="B54" s="78"/>
      <c r="C54" s="78"/>
      <c r="D54" s="83"/>
      <c r="E54" s="78"/>
      <c r="F54" s="78"/>
      <c r="G54" s="78"/>
      <c r="H54" s="78"/>
      <c r="I54" s="78"/>
      <c r="J54" s="78"/>
      <c r="K54" s="78"/>
      <c r="L54" s="79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</row>
    <row r="55" spans="1:56" s="70" customFormat="1" x14ac:dyDescent="0.25">
      <c r="A55" s="78"/>
      <c r="B55" s="78"/>
      <c r="C55" s="78"/>
      <c r="D55" s="83"/>
      <c r="E55" s="78"/>
      <c r="F55" s="78"/>
      <c r="G55" s="78"/>
      <c r="H55" s="78"/>
      <c r="I55" s="78"/>
      <c r="J55" s="78"/>
      <c r="K55" s="78"/>
      <c r="L55" s="79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</row>
    <row r="56" spans="1:56" s="70" customFormat="1" x14ac:dyDescent="0.25">
      <c r="A56" s="78"/>
      <c r="B56" s="78"/>
      <c r="C56" s="78"/>
      <c r="D56" s="83"/>
      <c r="E56" s="78"/>
      <c r="F56" s="78"/>
      <c r="G56" s="78"/>
      <c r="H56" s="78"/>
      <c r="I56" s="78"/>
      <c r="J56" s="78"/>
      <c r="K56" s="78"/>
      <c r="L56" s="79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</row>
    <row r="57" spans="1:56" s="70" customFormat="1" x14ac:dyDescent="0.25">
      <c r="A57" s="78"/>
      <c r="B57" s="78"/>
      <c r="C57" s="78"/>
      <c r="D57" s="83"/>
      <c r="E57" s="78"/>
      <c r="F57" s="78"/>
      <c r="G57" s="78"/>
      <c r="H57" s="78"/>
      <c r="I57" s="78"/>
      <c r="J57" s="78"/>
      <c r="K57" s="78"/>
      <c r="L57" s="79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</row>
    <row r="58" spans="1:56" s="70" customFormat="1" x14ac:dyDescent="0.25">
      <c r="A58" s="78"/>
      <c r="B58" s="78"/>
      <c r="C58" s="78"/>
      <c r="D58" s="83"/>
      <c r="E58" s="78"/>
      <c r="F58" s="78"/>
      <c r="G58" s="78"/>
      <c r="H58" s="78"/>
      <c r="I58" s="78"/>
      <c r="J58" s="78"/>
      <c r="K58" s="78"/>
      <c r="L58" s="79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</row>
    <row r="59" spans="1:56" s="70" customFormat="1" x14ac:dyDescent="0.25">
      <c r="A59" s="78"/>
      <c r="B59" s="78"/>
      <c r="C59" s="78"/>
      <c r="D59" s="83"/>
      <c r="E59" s="78"/>
      <c r="F59" s="78"/>
      <c r="G59" s="78"/>
      <c r="H59" s="78"/>
      <c r="I59" s="78"/>
      <c r="J59" s="78"/>
      <c r="K59" s="78"/>
      <c r="L59" s="79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  <c r="BD59" s="78"/>
    </row>
    <row r="60" spans="1:56" s="70" customFormat="1" x14ac:dyDescent="0.25">
      <c r="A60" s="78"/>
      <c r="B60" s="78"/>
      <c r="C60" s="78"/>
      <c r="D60" s="83"/>
      <c r="E60" s="78"/>
      <c r="F60" s="78"/>
      <c r="G60" s="78"/>
      <c r="H60" s="78"/>
      <c r="I60" s="78"/>
      <c r="J60" s="78"/>
      <c r="K60" s="78"/>
      <c r="L60" s="79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  <c r="BD60" s="78"/>
    </row>
    <row r="61" spans="1:56" s="70" customFormat="1" x14ac:dyDescent="0.25">
      <c r="A61" s="78"/>
      <c r="B61" s="78"/>
      <c r="C61" s="78"/>
      <c r="D61" s="83"/>
      <c r="E61" s="78"/>
      <c r="F61" s="78"/>
      <c r="G61" s="78"/>
      <c r="H61" s="78"/>
      <c r="I61" s="78"/>
      <c r="J61" s="78"/>
      <c r="K61" s="78"/>
      <c r="L61" s="79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</row>
    <row r="62" spans="1:56" s="70" customFormat="1" x14ac:dyDescent="0.25">
      <c r="A62" s="78"/>
      <c r="B62" s="78"/>
      <c r="C62" s="78"/>
      <c r="D62" s="83"/>
      <c r="E62" s="78"/>
      <c r="F62" s="78"/>
      <c r="G62" s="78"/>
      <c r="H62" s="78"/>
      <c r="I62" s="78"/>
      <c r="J62" s="78"/>
      <c r="K62" s="78"/>
      <c r="L62" s="79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</row>
    <row r="63" spans="1:56" s="70" customFormat="1" x14ac:dyDescent="0.25">
      <c r="A63" s="78"/>
      <c r="B63" s="78"/>
      <c r="C63" s="78"/>
      <c r="D63" s="83"/>
      <c r="E63" s="78"/>
      <c r="F63" s="78"/>
      <c r="G63" s="78"/>
      <c r="H63" s="78"/>
      <c r="I63" s="78"/>
      <c r="J63" s="78"/>
      <c r="K63" s="78"/>
      <c r="L63" s="79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</row>
    <row r="64" spans="1:56" s="70" customFormat="1" x14ac:dyDescent="0.25">
      <c r="A64" s="78"/>
      <c r="B64" s="78"/>
      <c r="C64" s="78"/>
      <c r="D64" s="83"/>
      <c r="E64" s="78"/>
      <c r="F64" s="78"/>
      <c r="G64" s="78"/>
      <c r="H64" s="78"/>
      <c r="I64" s="78"/>
      <c r="J64" s="78"/>
      <c r="K64" s="78"/>
      <c r="L64" s="79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</row>
    <row r="65" spans="1:56" s="70" customFormat="1" x14ac:dyDescent="0.25">
      <c r="A65" s="78"/>
      <c r="B65" s="78"/>
      <c r="C65" s="78"/>
      <c r="D65" s="83"/>
      <c r="E65" s="78"/>
      <c r="F65" s="78"/>
      <c r="G65" s="78"/>
      <c r="H65" s="78"/>
      <c r="I65" s="78"/>
      <c r="J65" s="78"/>
      <c r="K65" s="78"/>
      <c r="L65" s="79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</row>
    <row r="66" spans="1:56" s="70" customFormat="1" x14ac:dyDescent="0.25">
      <c r="A66" s="78"/>
      <c r="B66" s="78"/>
      <c r="C66" s="78"/>
      <c r="D66" s="83"/>
      <c r="E66" s="78"/>
      <c r="F66" s="78"/>
      <c r="G66" s="78"/>
      <c r="H66" s="78"/>
      <c r="I66" s="78"/>
      <c r="J66" s="78"/>
      <c r="K66" s="78"/>
      <c r="L66" s="79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</row>
    <row r="67" spans="1:56" s="70" customFormat="1" x14ac:dyDescent="0.25">
      <c r="A67" s="78"/>
      <c r="B67" s="78"/>
      <c r="C67" s="78"/>
      <c r="D67" s="83"/>
      <c r="E67" s="78"/>
      <c r="F67" s="78"/>
      <c r="G67" s="78"/>
      <c r="H67" s="78"/>
      <c r="I67" s="78"/>
      <c r="J67" s="78"/>
      <c r="K67" s="78"/>
      <c r="L67" s="79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</row>
    <row r="68" spans="1:56" s="70" customFormat="1" x14ac:dyDescent="0.25">
      <c r="A68" s="78"/>
      <c r="B68" s="78"/>
      <c r="C68" s="78"/>
      <c r="D68" s="83"/>
      <c r="E68" s="78"/>
      <c r="F68" s="78"/>
      <c r="G68" s="78"/>
      <c r="H68" s="78"/>
      <c r="I68" s="78"/>
      <c r="J68" s="78"/>
      <c r="K68" s="78"/>
      <c r="L68" s="79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</row>
    <row r="69" spans="1:56" s="70" customFormat="1" x14ac:dyDescent="0.25">
      <c r="A69" s="78"/>
      <c r="B69" s="78"/>
      <c r="C69" s="78"/>
      <c r="D69" s="83"/>
      <c r="E69" s="78"/>
      <c r="F69" s="78"/>
      <c r="G69" s="78"/>
      <c r="H69" s="78"/>
      <c r="I69" s="78"/>
      <c r="J69" s="78"/>
      <c r="K69" s="78"/>
      <c r="L69" s="79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</row>
    <row r="70" spans="1:56" s="70" customFormat="1" x14ac:dyDescent="0.25">
      <c r="A70" s="78"/>
      <c r="B70" s="78"/>
      <c r="C70" s="78"/>
      <c r="D70" s="83"/>
      <c r="E70" s="78"/>
      <c r="F70" s="78"/>
      <c r="G70" s="78"/>
      <c r="H70" s="78"/>
      <c r="I70" s="78"/>
      <c r="J70" s="78"/>
      <c r="K70" s="78"/>
      <c r="L70" s="79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</row>
    <row r="71" spans="1:56" s="70" customFormat="1" x14ac:dyDescent="0.25">
      <c r="A71" s="78"/>
      <c r="B71" s="78"/>
      <c r="C71" s="78"/>
      <c r="D71" s="83"/>
      <c r="E71" s="78"/>
      <c r="F71" s="78"/>
      <c r="G71" s="78"/>
      <c r="H71" s="78"/>
      <c r="I71" s="78"/>
      <c r="J71" s="78"/>
      <c r="K71" s="78"/>
      <c r="L71" s="79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</row>
    <row r="72" spans="1:56" s="70" customFormat="1" x14ac:dyDescent="0.25">
      <c r="A72" s="78"/>
      <c r="B72" s="78"/>
      <c r="C72" s="78"/>
      <c r="D72" s="83"/>
      <c r="E72" s="78"/>
      <c r="F72" s="78"/>
      <c r="G72" s="78"/>
      <c r="H72" s="78"/>
      <c r="I72" s="78"/>
      <c r="J72" s="78"/>
      <c r="K72" s="78"/>
      <c r="L72" s="79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</row>
    <row r="73" spans="1:56" s="70" customFormat="1" x14ac:dyDescent="0.25">
      <c r="A73" s="78"/>
      <c r="B73" s="78"/>
      <c r="C73" s="78"/>
      <c r="D73" s="83"/>
      <c r="E73" s="78"/>
      <c r="F73" s="78"/>
      <c r="G73" s="78"/>
      <c r="H73" s="78"/>
      <c r="I73" s="78"/>
      <c r="J73" s="78"/>
      <c r="K73" s="78"/>
      <c r="L73" s="79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</row>
    <row r="74" spans="1:56" s="70" customFormat="1" x14ac:dyDescent="0.25">
      <c r="A74" s="78"/>
      <c r="B74" s="78"/>
      <c r="C74" s="78"/>
      <c r="D74" s="83"/>
      <c r="E74" s="78"/>
      <c r="F74" s="78"/>
      <c r="G74" s="78"/>
      <c r="H74" s="78"/>
      <c r="I74" s="78"/>
      <c r="J74" s="78"/>
      <c r="K74" s="78"/>
      <c r="L74" s="79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</row>
    <row r="75" spans="1:56" s="70" customFormat="1" x14ac:dyDescent="0.25">
      <c r="A75" s="78"/>
      <c r="B75" s="78"/>
      <c r="C75" s="78"/>
      <c r="D75" s="83"/>
      <c r="E75" s="78"/>
      <c r="F75" s="78"/>
      <c r="G75" s="78"/>
      <c r="H75" s="78"/>
      <c r="I75" s="78"/>
      <c r="J75" s="78"/>
      <c r="K75" s="78"/>
      <c r="L75" s="79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</row>
    <row r="76" spans="1:56" s="70" customFormat="1" x14ac:dyDescent="0.25">
      <c r="A76" s="78"/>
      <c r="B76" s="78"/>
      <c r="C76" s="78"/>
      <c r="D76" s="83"/>
      <c r="E76" s="78"/>
      <c r="F76" s="78"/>
      <c r="G76" s="78"/>
      <c r="H76" s="78"/>
      <c r="I76" s="78"/>
      <c r="J76" s="78"/>
      <c r="K76" s="78"/>
      <c r="L76" s="79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</row>
    <row r="77" spans="1:56" s="70" customFormat="1" x14ac:dyDescent="0.25">
      <c r="A77" s="78"/>
      <c r="B77" s="78"/>
      <c r="C77" s="78"/>
      <c r="D77" s="83"/>
      <c r="E77" s="78"/>
      <c r="F77" s="78"/>
      <c r="G77" s="78"/>
      <c r="H77" s="78"/>
      <c r="I77" s="78"/>
      <c r="J77" s="78"/>
      <c r="K77" s="78"/>
      <c r="L77" s="79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</row>
    <row r="78" spans="1:56" s="70" customFormat="1" x14ac:dyDescent="0.25">
      <c r="A78" s="78"/>
      <c r="B78" s="78"/>
      <c r="C78" s="78"/>
      <c r="D78" s="83"/>
      <c r="E78" s="78"/>
      <c r="F78" s="78"/>
      <c r="G78" s="78"/>
      <c r="H78" s="78"/>
      <c r="I78" s="78"/>
      <c r="J78" s="78"/>
      <c r="K78" s="78"/>
      <c r="L78" s="79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</row>
    <row r="79" spans="1:56" s="70" customFormat="1" x14ac:dyDescent="0.25">
      <c r="A79" s="78"/>
      <c r="B79" s="78"/>
      <c r="C79" s="78"/>
      <c r="D79" s="83"/>
      <c r="E79" s="78"/>
      <c r="F79" s="78"/>
      <c r="G79" s="78"/>
      <c r="H79" s="78"/>
      <c r="I79" s="78"/>
      <c r="J79" s="78"/>
      <c r="K79" s="78"/>
      <c r="L79" s="79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</row>
    <row r="80" spans="1:56" s="70" customFormat="1" x14ac:dyDescent="0.25">
      <c r="A80" s="78"/>
      <c r="B80" s="78"/>
      <c r="C80" s="78"/>
      <c r="D80" s="83"/>
      <c r="E80" s="78"/>
      <c r="F80" s="78"/>
      <c r="G80" s="78"/>
      <c r="H80" s="78"/>
      <c r="I80" s="78"/>
      <c r="J80" s="78"/>
      <c r="K80" s="78"/>
      <c r="L80" s="79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</row>
    <row r="81" spans="1:56" s="70" customFormat="1" x14ac:dyDescent="0.25">
      <c r="A81" s="78"/>
      <c r="B81" s="78"/>
      <c r="C81" s="78"/>
      <c r="D81" s="83"/>
      <c r="E81" s="78"/>
      <c r="F81" s="78"/>
      <c r="G81" s="78"/>
      <c r="H81" s="78"/>
      <c r="I81" s="78"/>
      <c r="J81" s="78"/>
      <c r="K81" s="78"/>
      <c r="L81" s="79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</row>
    <row r="82" spans="1:56" s="70" customFormat="1" x14ac:dyDescent="0.25">
      <c r="A82" s="78"/>
      <c r="B82" s="78"/>
      <c r="C82" s="78"/>
      <c r="D82" s="83"/>
      <c r="E82" s="78"/>
      <c r="F82" s="78"/>
      <c r="G82" s="78"/>
      <c r="H82" s="78"/>
      <c r="I82" s="78"/>
      <c r="J82" s="78"/>
      <c r="K82" s="78"/>
      <c r="L82" s="79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</row>
    <row r="83" spans="1:56" s="70" customFormat="1" x14ac:dyDescent="0.25">
      <c r="A83" s="78"/>
      <c r="B83" s="78"/>
      <c r="C83" s="78"/>
      <c r="D83" s="83"/>
      <c r="E83" s="78"/>
      <c r="F83" s="78"/>
      <c r="G83" s="78"/>
      <c r="H83" s="78"/>
      <c r="I83" s="78"/>
      <c r="J83" s="78"/>
      <c r="K83" s="78"/>
      <c r="L83" s="79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</row>
    <row r="84" spans="1:56" s="70" customFormat="1" x14ac:dyDescent="0.25">
      <c r="A84" s="78"/>
      <c r="B84" s="78"/>
      <c r="C84" s="78"/>
      <c r="D84" s="83"/>
      <c r="E84" s="78"/>
      <c r="F84" s="78"/>
      <c r="G84" s="78"/>
      <c r="H84" s="78"/>
      <c r="I84" s="78"/>
      <c r="J84" s="78"/>
      <c r="K84" s="78"/>
      <c r="L84" s="79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</row>
    <row r="85" spans="1:56" s="70" customFormat="1" x14ac:dyDescent="0.25">
      <c r="A85" s="78"/>
      <c r="B85" s="78"/>
      <c r="C85" s="78"/>
      <c r="D85" s="83"/>
      <c r="E85" s="78"/>
      <c r="F85" s="78"/>
      <c r="G85" s="78"/>
      <c r="H85" s="78"/>
      <c r="I85" s="78"/>
      <c r="J85" s="78"/>
      <c r="K85" s="78"/>
      <c r="L85" s="79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  <c r="BD85" s="78"/>
    </row>
    <row r="86" spans="1:56" s="70" customFormat="1" x14ac:dyDescent="0.25">
      <c r="A86" s="78"/>
      <c r="B86" s="78"/>
      <c r="C86" s="78"/>
      <c r="D86" s="83"/>
      <c r="E86" s="78"/>
      <c r="F86" s="78"/>
      <c r="G86" s="78"/>
      <c r="H86" s="78"/>
      <c r="I86" s="78"/>
      <c r="J86" s="78"/>
      <c r="K86" s="78"/>
      <c r="L86" s="79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</row>
    <row r="87" spans="1:56" s="70" customFormat="1" x14ac:dyDescent="0.25">
      <c r="A87" s="78"/>
      <c r="B87" s="78"/>
      <c r="C87" s="78"/>
      <c r="D87" s="83"/>
      <c r="E87" s="78"/>
      <c r="F87" s="78"/>
      <c r="G87" s="78"/>
      <c r="H87" s="78"/>
      <c r="I87" s="78"/>
      <c r="J87" s="78"/>
      <c r="K87" s="78"/>
      <c r="L87" s="79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</row>
    <row r="88" spans="1:56" s="70" customFormat="1" x14ac:dyDescent="0.25">
      <c r="A88" s="78"/>
      <c r="B88" s="78"/>
      <c r="C88" s="78"/>
      <c r="D88" s="83"/>
      <c r="E88" s="78"/>
      <c r="F88" s="78"/>
      <c r="G88" s="78"/>
      <c r="H88" s="78"/>
      <c r="I88" s="78"/>
      <c r="J88" s="78"/>
      <c r="K88" s="78"/>
      <c r="L88" s="79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</row>
    <row r="89" spans="1:56" s="70" customFormat="1" x14ac:dyDescent="0.25">
      <c r="A89" s="78"/>
      <c r="B89" s="78"/>
      <c r="C89" s="78"/>
      <c r="D89" s="83"/>
      <c r="E89" s="78"/>
      <c r="F89" s="78"/>
      <c r="G89" s="78"/>
      <c r="H89" s="78"/>
      <c r="I89" s="78"/>
      <c r="J89" s="78"/>
      <c r="K89" s="78"/>
      <c r="L89" s="79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</row>
    <row r="90" spans="1:56" s="70" customFormat="1" x14ac:dyDescent="0.25">
      <c r="A90" s="78"/>
      <c r="B90" s="78"/>
      <c r="C90" s="78"/>
      <c r="D90" s="83"/>
      <c r="E90" s="78"/>
      <c r="F90" s="78"/>
      <c r="G90" s="78"/>
      <c r="H90" s="78"/>
      <c r="I90" s="78"/>
      <c r="J90" s="78"/>
      <c r="K90" s="78"/>
      <c r="L90" s="79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</row>
    <row r="91" spans="1:56" s="70" customFormat="1" x14ac:dyDescent="0.25">
      <c r="A91" s="78"/>
      <c r="B91" s="78"/>
      <c r="C91" s="78"/>
      <c r="D91" s="83"/>
      <c r="E91" s="78"/>
      <c r="F91" s="78"/>
      <c r="G91" s="78"/>
      <c r="H91" s="78"/>
      <c r="I91" s="78"/>
      <c r="J91" s="78"/>
      <c r="K91" s="78"/>
      <c r="L91" s="79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</row>
    <row r="92" spans="1:56" s="70" customFormat="1" x14ac:dyDescent="0.25">
      <c r="A92" s="78"/>
      <c r="B92" s="78"/>
      <c r="C92" s="78"/>
      <c r="D92" s="83"/>
      <c r="E92" s="78"/>
      <c r="F92" s="78"/>
      <c r="G92" s="78"/>
      <c r="H92" s="78"/>
      <c r="I92" s="78"/>
      <c r="J92" s="78"/>
      <c r="K92" s="78"/>
      <c r="L92" s="79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</row>
    <row r="93" spans="1:56" s="70" customFormat="1" x14ac:dyDescent="0.25">
      <c r="A93" s="78"/>
      <c r="B93" s="78"/>
      <c r="C93" s="78"/>
      <c r="D93" s="83"/>
      <c r="E93" s="78"/>
      <c r="F93" s="78"/>
      <c r="G93" s="78"/>
      <c r="H93" s="78"/>
      <c r="I93" s="78"/>
      <c r="J93" s="78"/>
      <c r="K93" s="78"/>
      <c r="L93" s="79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</row>
    <row r="94" spans="1:56" s="70" customFormat="1" x14ac:dyDescent="0.25">
      <c r="A94" s="78"/>
      <c r="B94" s="78"/>
      <c r="C94" s="78"/>
      <c r="D94" s="83"/>
      <c r="E94" s="78"/>
      <c r="F94" s="78"/>
      <c r="G94" s="78"/>
      <c r="H94" s="78"/>
      <c r="I94" s="78"/>
      <c r="J94" s="78"/>
      <c r="K94" s="78"/>
      <c r="L94" s="79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</row>
    <row r="95" spans="1:56" s="70" customFormat="1" x14ac:dyDescent="0.25">
      <c r="A95" s="78"/>
      <c r="B95" s="78"/>
      <c r="C95" s="78"/>
      <c r="D95" s="83"/>
      <c r="E95" s="78"/>
      <c r="F95" s="78"/>
      <c r="G95" s="78"/>
      <c r="H95" s="78"/>
      <c r="I95" s="78"/>
      <c r="J95" s="78"/>
      <c r="K95" s="78"/>
      <c r="L95" s="79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</row>
    <row r="96" spans="1:56" s="70" customFormat="1" x14ac:dyDescent="0.25">
      <c r="A96" s="78"/>
      <c r="B96" s="78"/>
      <c r="C96" s="78"/>
      <c r="D96" s="83"/>
      <c r="E96" s="78"/>
      <c r="F96" s="78"/>
      <c r="G96" s="78"/>
      <c r="H96" s="78"/>
      <c r="I96" s="78"/>
      <c r="J96" s="78"/>
      <c r="K96" s="78"/>
      <c r="L96" s="79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</row>
    <row r="97" spans="1:56" s="70" customFormat="1" x14ac:dyDescent="0.25">
      <c r="A97" s="78"/>
      <c r="B97" s="78"/>
      <c r="C97" s="78"/>
      <c r="D97" s="83"/>
      <c r="E97" s="78"/>
      <c r="F97" s="78"/>
      <c r="G97" s="78"/>
      <c r="H97" s="78"/>
      <c r="I97" s="78"/>
      <c r="J97" s="78"/>
      <c r="K97" s="78"/>
      <c r="L97" s="79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</row>
    <row r="98" spans="1:56" s="70" customFormat="1" x14ac:dyDescent="0.25">
      <c r="A98" s="78"/>
      <c r="B98" s="78"/>
      <c r="C98" s="78"/>
      <c r="D98" s="83"/>
      <c r="E98" s="78"/>
      <c r="F98" s="78"/>
      <c r="G98" s="78"/>
      <c r="H98" s="78"/>
      <c r="I98" s="78"/>
      <c r="J98" s="78"/>
      <c r="K98" s="78"/>
      <c r="L98" s="79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</row>
    <row r="99" spans="1:56" s="70" customFormat="1" x14ac:dyDescent="0.25">
      <c r="A99" s="78"/>
      <c r="B99" s="78"/>
      <c r="C99" s="78"/>
      <c r="D99" s="83"/>
      <c r="E99" s="78"/>
      <c r="F99" s="78"/>
      <c r="G99" s="78"/>
      <c r="H99" s="78"/>
      <c r="I99" s="78"/>
      <c r="J99" s="78"/>
      <c r="K99" s="78"/>
      <c r="L99" s="79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</row>
    <row r="100" spans="1:56" s="70" customFormat="1" x14ac:dyDescent="0.25">
      <c r="A100" s="78"/>
      <c r="B100" s="78"/>
      <c r="C100" s="78"/>
      <c r="D100" s="83"/>
      <c r="E100" s="78"/>
      <c r="F100" s="78"/>
      <c r="G100" s="78"/>
      <c r="H100" s="78"/>
      <c r="I100" s="78"/>
      <c r="J100" s="78"/>
      <c r="K100" s="78"/>
      <c r="L100" s="79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</row>
  </sheetData>
  <mergeCells count="2">
    <mergeCell ref="F1:G1"/>
    <mergeCell ref="A1:C1"/>
  </mergeCells>
  <conditionalFormatting sqref="F2">
    <cfRule type="duplicateValues" dxfId="4" priority="3" stopIfTrue="1"/>
  </conditionalFormatting>
  <conditionalFormatting sqref="Z1:Z2">
    <cfRule type="duplicateValues" dxfId="3" priority="2" stopIfTrue="1"/>
  </conditionalFormatting>
  <conditionalFormatting sqref="F1:F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Base de Datos</vt:lpstr>
      <vt:lpstr>Manifiesto</vt:lpstr>
      <vt:lpstr>KENNY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cp:lastPrinted>2022-08-08T03:10:33Z</cp:lastPrinted>
  <dcterms:created xsi:type="dcterms:W3CDTF">2022-06-23T22:24:49Z</dcterms:created>
  <dcterms:modified xsi:type="dcterms:W3CDTF">2022-09-04T07:45:15Z</dcterms:modified>
</cp:coreProperties>
</file>